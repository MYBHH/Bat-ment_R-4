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K\Desktop\OIL &amp; GAS\PI\"/>
    </mc:Choice>
  </mc:AlternateContent>
  <xr:revisionPtr revIDLastSave="0" documentId="13_ncr:1_{251882DA-4F89-4A93-815D-E029BE89E995}" xr6:coauthVersionLast="45" xr6:coauthVersionMax="45" xr10:uidLastSave="{00000000-0000-0000-0000-000000000000}"/>
  <bookViews>
    <workbookView xWindow="-108" yWindow="-108" windowWidth="23256" windowHeight="12720" xr2:uid="{00000000-000D-0000-FFFF-FFFF00000000}"/>
  </bookViews>
  <sheets>
    <sheet name="Login" sheetId="2" r:id="rId1"/>
    <sheet name="Membres" sheetId="3" state="veryHidden" r:id="rId2"/>
    <sheet name="Content" sheetId="4" state="veryHidden" r:id="rId3"/>
    <sheet name="Poteau a x b" sheetId="1" state="veryHidden" r:id="rId4"/>
    <sheet name="Poteau a x inconnu" sheetId="5" state="veryHidden" r:id="rId5"/>
    <sheet name="Poteau carré" sheetId="6" state="veryHidden" r:id="rId6"/>
    <sheet name="Dalle sur 2 appuis" sheetId="7" state="veryHidden" r:id="rId7"/>
    <sheet name="Dalle sur 4 appuis" sheetId="8" state="veryHidden" r:id="rId8"/>
    <sheet name="Poutre isostatique" sheetId="10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81" i="10" l="1"/>
  <c r="P73" i="10"/>
  <c r="P52" i="10"/>
  <c r="P53" i="10" s="1"/>
  <c r="P51" i="10"/>
  <c r="P81" i="8"/>
  <c r="P73" i="8"/>
  <c r="P75" i="8" s="1"/>
  <c r="P52" i="8"/>
  <c r="P53" i="8" s="1"/>
  <c r="P51" i="8"/>
  <c r="P79" i="8" l="1"/>
  <c r="P80" i="8" s="1"/>
  <c r="P82" i="8" s="1"/>
  <c r="P56" i="8"/>
  <c r="P75" i="10"/>
  <c r="P79" i="10"/>
  <c r="P80" i="10" s="1"/>
  <c r="P82" i="10" s="1"/>
  <c r="P56" i="10"/>
  <c r="P77" i="7"/>
  <c r="P70" i="7"/>
  <c r="P53" i="7"/>
  <c r="P58" i="7" s="1"/>
  <c r="P59" i="7" s="1"/>
  <c r="E84" i="6"/>
  <c r="E79" i="6"/>
  <c r="F79" i="6" s="1"/>
  <c r="E67" i="6"/>
  <c r="E62" i="6"/>
  <c r="E57" i="6"/>
  <c r="E52" i="6"/>
  <c r="E49" i="6"/>
  <c r="E45" i="6"/>
  <c r="E44" i="6"/>
  <c r="E43" i="6"/>
  <c r="E46" i="6" s="1"/>
  <c r="E81" i="6" s="1"/>
  <c r="E82" i="6" s="1"/>
  <c r="E42" i="6"/>
  <c r="E41" i="6"/>
  <c r="E50" i="6" s="1"/>
  <c r="E51" i="6" s="1"/>
  <c r="E64" i="5"/>
  <c r="E59" i="5"/>
  <c r="F59" i="5" s="1"/>
  <c r="E47" i="5"/>
  <c r="E48" i="5" s="1"/>
  <c r="E46" i="5"/>
  <c r="E61" i="5" s="1"/>
  <c r="E62" i="5" s="1"/>
  <c r="E45" i="5"/>
  <c r="E44" i="5"/>
  <c r="E43" i="5"/>
  <c r="E42" i="5"/>
  <c r="E41" i="5"/>
  <c r="E64" i="1"/>
  <c r="E59" i="1"/>
  <c r="F59" i="1" s="1"/>
  <c r="E55" i="1"/>
  <c r="E54" i="1"/>
  <c r="E50" i="1"/>
  <c r="E51" i="1" s="1"/>
  <c r="E47" i="1"/>
  <c r="E48" i="1" s="1"/>
  <c r="E45" i="1"/>
  <c r="E44" i="1"/>
  <c r="E43" i="1"/>
  <c r="E46" i="1" s="1"/>
  <c r="E61" i="1" s="1"/>
  <c r="E62" i="1" s="1"/>
  <c r="E42" i="1"/>
  <c r="E63" i="1" s="1"/>
  <c r="F63" i="1" s="1"/>
  <c r="E41" i="1"/>
  <c r="U17" i="2"/>
  <c r="P62" i="8" l="1"/>
  <c r="P66" i="8" s="1"/>
  <c r="P76" i="8" s="1"/>
  <c r="P59" i="8"/>
  <c r="P68" i="8" s="1"/>
  <c r="P58" i="8"/>
  <c r="P67" i="8" s="1"/>
  <c r="P57" i="8"/>
  <c r="P62" i="10"/>
  <c r="P66" i="10" s="1"/>
  <c r="P76" i="10" s="1"/>
  <c r="P59" i="10"/>
  <c r="P68" i="10" s="1"/>
  <c r="P58" i="10"/>
  <c r="P67" i="10" s="1"/>
  <c r="P57" i="10"/>
  <c r="P72" i="7"/>
  <c r="E53" i="6"/>
  <c r="E54" i="6" s="1"/>
  <c r="E55" i="6" s="1"/>
  <c r="E56" i="6" s="1"/>
  <c r="E49" i="1"/>
  <c r="E52" i="1" s="1"/>
  <c r="D53" i="1" s="1"/>
  <c r="F48" i="1"/>
  <c r="E58" i="6"/>
  <c r="E59" i="6" s="1"/>
  <c r="E60" i="6" s="1"/>
  <c r="E61" i="6" s="1"/>
  <c r="E63" i="6" s="1"/>
  <c r="E64" i="6" s="1"/>
  <c r="E65" i="6" s="1"/>
  <c r="E66" i="6" s="1"/>
  <c r="E24" i="6" s="1"/>
  <c r="E49" i="5"/>
  <c r="F48" i="5"/>
  <c r="P54" i="7"/>
  <c r="P61" i="8" l="1"/>
  <c r="P71" i="8" s="1"/>
  <c r="P60" i="8"/>
  <c r="P70" i="8" s="1"/>
  <c r="P63" i="8"/>
  <c r="P69" i="8" s="1"/>
  <c r="P74" i="8" s="1"/>
  <c r="P61" i="10"/>
  <c r="P71" i="10" s="1"/>
  <c r="P60" i="10"/>
  <c r="P70" i="10" s="1"/>
  <c r="P63" i="10"/>
  <c r="P69" i="10" s="1"/>
  <c r="P74" i="10" s="1"/>
  <c r="F53" i="1"/>
  <c r="E53" i="1"/>
  <c r="E60" i="1" s="1"/>
  <c r="E83" i="6"/>
  <c r="F83" i="6" s="1"/>
  <c r="E70" i="6"/>
  <c r="E71" i="6" s="1"/>
  <c r="E75" i="6"/>
  <c r="E74" i="6"/>
  <c r="P75" i="7"/>
  <c r="P76" i="7" s="1"/>
  <c r="P78" i="7" s="1"/>
  <c r="P55" i="7"/>
  <c r="E68" i="6"/>
  <c r="E50" i="5"/>
  <c r="E51" i="5" l="1"/>
  <c r="E52" i="5" s="1"/>
  <c r="D53" i="5" s="1"/>
  <c r="E24" i="5"/>
  <c r="E69" i="6"/>
  <c r="E72" i="6" s="1"/>
  <c r="D73" i="6" s="1"/>
  <c r="F68" i="6"/>
  <c r="N49" i="7"/>
  <c r="E63" i="5" l="1"/>
  <c r="F63" i="5" s="1"/>
  <c r="E55" i="5"/>
  <c r="E54" i="5"/>
  <c r="F53" i="5" s="1"/>
  <c r="P57" i="7"/>
  <c r="P56" i="7"/>
  <c r="P68" i="7" s="1"/>
  <c r="F73" i="6"/>
  <c r="E73" i="6"/>
  <c r="E80" i="6" s="1"/>
  <c r="E53" i="5" l="1"/>
  <c r="E60" i="5" s="1"/>
  <c r="P69" i="7"/>
  <c r="P60" i="7"/>
  <c r="P67" i="7" l="1"/>
  <c r="P6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Auteur</author>
    <author>ASUS</author>
  </authors>
  <commentList>
    <comment ref="E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Haute adhérence 
500 - 400
rond lisse
215-235</t>
        </r>
      </text>
    </comment>
    <comment ref="E33" authorId="0" shapeId="0" xr:uid="{00000000-0006-0000-0300-000002000000}">
      <text>
        <r>
          <rPr>
            <sz val="9"/>
            <color indexed="81"/>
            <rFont val="Tahoma"/>
            <family val="2"/>
          </rPr>
          <t>si RL =1
si HA =1.5</t>
        </r>
      </text>
    </comment>
    <comment ref="E35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
articuler - articuler =1
Encastrer - encastrer = 0,5
Encaster - ARTICULER =0,7
Articuler - libre =2</t>
        </r>
      </text>
    </comment>
    <comment ref="E36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'Nu/2 appliq. avt 28 j  ===&gt;&gt; K= 1.2
'Nu/2 appliq. avt 90 j  ===&gt;&gt; K= 1.1
'Nu/2 appliq. aps 90 j  ===&gt;&gt; K= 1</t>
        </r>
      </text>
    </comment>
    <comment ref="E57" authorId="1" shapeId="0" xr:uid="{00000000-0006-0000-0300-000005000000}">
      <text>
        <r>
          <rPr>
            <b/>
            <sz val="9"/>
            <color indexed="81"/>
            <rFont val="Tahoma"/>
            <family val="2"/>
          </rPr>
          <t xml:space="preserve">nombre de barres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7" authorId="1" shapeId="0" xr:uid="{00000000-0006-0000-0300-000006000000}">
      <text>
        <r>
          <rPr>
            <b/>
            <sz val="9"/>
            <color indexed="81"/>
            <rFont val="Tahoma"/>
            <family val="2"/>
          </rPr>
          <t xml:space="preserve">diamètre des barres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Auteur</author>
  </authors>
  <commentList>
    <comment ref="E3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Haute adhérence 
500 - 400
rond lisse
215-235</t>
        </r>
      </text>
    </comment>
    <comment ref="E33" authorId="0" shapeId="0" xr:uid="{00000000-0006-0000-0400-000002000000}">
      <text>
        <r>
          <rPr>
            <sz val="9"/>
            <color indexed="81"/>
            <rFont val="Tahoma"/>
            <charset val="1"/>
          </rPr>
          <t>si RL =1
si HA =1.5</t>
        </r>
      </text>
    </comment>
    <comment ref="E35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
articuler - articuler =1
Encastrer - encastrer = 0,5
Encaster - ARTICULER =0,7
Articuler - libre =2</t>
        </r>
      </text>
    </comment>
    <comment ref="E36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'Nu/2 appliq. avt 28 j  ===&gt;&gt; K= 1.2
'Nu/2 appliq. avt 90 j  ===&gt;&gt; K= 1.1
'Nu/2 appliq. aps 90 j  ===&gt;&gt; K= 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Auteur</author>
  </authors>
  <commentList>
    <comment ref="E3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Haute adhérence 
500 - 400
rond lisse
215-235</t>
        </r>
      </text>
    </comment>
    <comment ref="E33" authorId="0" shapeId="0" xr:uid="{00000000-0006-0000-0500-000002000000}">
      <text>
        <r>
          <rPr>
            <sz val="9"/>
            <color indexed="81"/>
            <rFont val="Tahoma"/>
            <family val="2"/>
          </rPr>
          <t>si RL =1
si HA =1.5</t>
        </r>
      </text>
    </comment>
    <comment ref="E35" authorId="0" shapeId="0" xr:uid="{00000000-0006-0000-0500-000003000000}">
      <text>
        <r>
          <rPr>
            <sz val="9"/>
            <color indexed="81"/>
            <rFont val="Tahoma"/>
            <family val="2"/>
          </rPr>
          <t xml:space="preserve">
articuler - articuler =1
Encastrer - encastrer = 0,5
Encaster - ARTICULER =0,7
Articuler - libre =2</t>
        </r>
      </text>
    </comment>
    <comment ref="E36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'Nu/2 appliq. avt 28 j  ===&gt;&gt; K= 1.2
'Nu/2 appliq. avt 90 j  ===&gt;&gt; K= 1.1
'Nu/2 appliq. aps 90 j  ===&gt;&gt; K= 1</t>
        </r>
      </text>
    </comment>
  </commentList>
</comments>
</file>

<file path=xl/sharedStrings.xml><?xml version="1.0" encoding="utf-8"?>
<sst xmlns="http://schemas.openxmlformats.org/spreadsheetml/2006/main" count="883" uniqueCount="297">
  <si>
    <t>Elaboré par :</t>
  </si>
  <si>
    <t>Module:</t>
  </si>
  <si>
    <t>Données</t>
  </si>
  <si>
    <t>&amp;</t>
  </si>
  <si>
    <t>User</t>
  </si>
  <si>
    <t>Rôle</t>
  </si>
  <si>
    <t>Password</t>
  </si>
  <si>
    <t>Admin</t>
  </si>
  <si>
    <t>Hatem FRAY</t>
  </si>
  <si>
    <t>Feuille de calcul d'un poteau rectangulaire</t>
  </si>
  <si>
    <t>Projet structure &amp; Ouvrage divers</t>
  </si>
  <si>
    <t>Classe: 4GC2</t>
  </si>
  <si>
    <t>Dimensions du poteau</t>
  </si>
  <si>
    <t xml:space="preserve"> Grand coté du poteau</t>
  </si>
  <si>
    <t xml:space="preserve">b </t>
  </si>
  <si>
    <t>m</t>
  </si>
  <si>
    <t xml:space="preserve"> Petit coté du poteau</t>
  </si>
  <si>
    <t xml:space="preserve">a </t>
  </si>
  <si>
    <t>Type d'acier</t>
  </si>
  <si>
    <t>Sollicitation</t>
  </si>
  <si>
    <t>effort normal permanent</t>
  </si>
  <si>
    <t>Ng</t>
  </si>
  <si>
    <t>MN</t>
  </si>
  <si>
    <t>HA</t>
  </si>
  <si>
    <t>Ѱ=</t>
  </si>
  <si>
    <t>RL</t>
  </si>
  <si>
    <t>effort normal d'exploitation</t>
  </si>
  <si>
    <t>Nq</t>
  </si>
  <si>
    <t>Béton</t>
  </si>
  <si>
    <t>Contrainte du béton a 28 jours</t>
  </si>
  <si>
    <t xml:space="preserve">Fc28 </t>
  </si>
  <si>
    <t>MPa</t>
  </si>
  <si>
    <t>θ</t>
  </si>
  <si>
    <t>ɣb</t>
  </si>
  <si>
    <t>ACIER</t>
  </si>
  <si>
    <t>Contrainte de l'acier utilisé</t>
  </si>
  <si>
    <t xml:space="preserve">Fe </t>
  </si>
  <si>
    <t>K</t>
  </si>
  <si>
    <t>ɣs</t>
  </si>
  <si>
    <t xml:space="preserve">Nu/2 appliq. avt 28 j  ===&gt;&gt; K= </t>
  </si>
  <si>
    <t>Ѱ</t>
  </si>
  <si>
    <t xml:space="preserve">Nu/2 appliq. avt 90 j  ===&gt;&gt; K= </t>
  </si>
  <si>
    <t>Hauteur d'étage</t>
  </si>
  <si>
    <t xml:space="preserve">Lo </t>
  </si>
  <si>
    <t xml:space="preserve">Nu/2 appliq. aps 90 j  ===&gt;&gt; K= </t>
  </si>
  <si>
    <t>coefficient de flambement</t>
  </si>
  <si>
    <t xml:space="preserve">Kf </t>
  </si>
  <si>
    <t>Coefficient réducteur</t>
  </si>
  <si>
    <t xml:space="preserve">Nu/2 appliq. avt 28 j  ===&gt;&gt; K= 1.2 </t>
  </si>
  <si>
    <t xml:space="preserve">K </t>
  </si>
  <si>
    <t>Nu/2 appliq. avt 90 j  ===&gt;&gt; K= 1.1</t>
  </si>
  <si>
    <t>Nu/2 appliq. aps 90 j  ===&gt;&gt; K= 1</t>
  </si>
  <si>
    <t>articulé- articulé</t>
  </si>
  <si>
    <t>Encastré - encastré</t>
  </si>
  <si>
    <t>Résultats</t>
  </si>
  <si>
    <t>Encastré- articulé</t>
  </si>
  <si>
    <t>Effort ultime</t>
  </si>
  <si>
    <t>Nu</t>
  </si>
  <si>
    <t>articulé - libre</t>
  </si>
  <si>
    <t>Effort service</t>
  </si>
  <si>
    <t>Ns</t>
  </si>
  <si>
    <t>Ft28</t>
  </si>
  <si>
    <t xml:space="preserve">Ft28 </t>
  </si>
  <si>
    <t>Fbu</t>
  </si>
  <si>
    <t xml:space="preserve">Fbu </t>
  </si>
  <si>
    <t>Acier</t>
  </si>
  <si>
    <t>Fsu</t>
  </si>
  <si>
    <t>Ƭsu</t>
  </si>
  <si>
    <t>Elancement</t>
  </si>
  <si>
    <t>Longueur de flambement</t>
  </si>
  <si>
    <t>Lf</t>
  </si>
  <si>
    <t>λ</t>
  </si>
  <si>
    <t xml:space="preserve"> λ</t>
  </si>
  <si>
    <t>Coeff B</t>
  </si>
  <si>
    <t>β</t>
  </si>
  <si>
    <t>Coefficient reduite</t>
  </si>
  <si>
    <t>Br</t>
  </si>
  <si>
    <t xml:space="preserve">Le béton en equilibre </t>
  </si>
  <si>
    <t>Nb</t>
  </si>
  <si>
    <t>Acier en equilibre</t>
  </si>
  <si>
    <t xml:space="preserve">Ns </t>
  </si>
  <si>
    <t>Section d'acier</t>
  </si>
  <si>
    <t>A(cm²)</t>
  </si>
  <si>
    <t xml:space="preserve">Tableau des sections des  barres indépendantes </t>
  </si>
  <si>
    <t>Amin(cm²)</t>
  </si>
  <si>
    <t>Amax(cm²)</t>
  </si>
  <si>
    <t>Acier réelle</t>
  </si>
  <si>
    <t>cm²</t>
  </si>
  <si>
    <t>acier transversal</t>
  </si>
  <si>
    <t>φ</t>
  </si>
  <si>
    <t>mm</t>
  </si>
  <si>
    <t>φt</t>
  </si>
  <si>
    <t>st</t>
  </si>
  <si>
    <t>cm</t>
  </si>
  <si>
    <t>ls</t>
  </si>
  <si>
    <t>lr</t>
  </si>
  <si>
    <t>vérification des contraintes</t>
  </si>
  <si>
    <r>
      <t>σ</t>
    </r>
    <r>
      <rPr>
        <b/>
        <i/>
        <u/>
        <sz val="11"/>
        <color theme="1"/>
        <rFont val="Calibri"/>
        <family val="2"/>
      </rPr>
      <t>bc(Mpa)</t>
    </r>
  </si>
  <si>
    <r>
      <t>σ</t>
    </r>
    <r>
      <rPr>
        <b/>
        <i/>
        <u/>
        <sz val="11"/>
        <color theme="1"/>
        <rFont val="Calibri"/>
        <family val="2"/>
        <scheme val="minor"/>
      </rPr>
      <t>adm(Mpa)</t>
    </r>
  </si>
  <si>
    <t>Med Yassine BEN HAJ HAMIDA</t>
  </si>
  <si>
    <t>Mariem ZOGHLEMI</t>
  </si>
  <si>
    <t>articuler - articuler</t>
  </si>
  <si>
    <t>Encastrer - encastrer</t>
  </si>
  <si>
    <t>Encastrer - articule</t>
  </si>
  <si>
    <t>articule - libre</t>
  </si>
  <si>
    <t>Amax</t>
  </si>
  <si>
    <t xml:space="preserve">Objectif </t>
  </si>
  <si>
    <t>Unité</t>
  </si>
  <si>
    <t>Résultat</t>
  </si>
  <si>
    <t>Titre</t>
  </si>
  <si>
    <t>Sous-titre</t>
  </si>
  <si>
    <t>Description</t>
  </si>
  <si>
    <t>Dans cette feuille de calcul,  nous avons essayés de déterminer la section d'acier minimale d'un poteau en béton armé qui vérifie les contranites nécessaires,</t>
  </si>
  <si>
    <t>Esprit2020</t>
  </si>
  <si>
    <t>Dans cette feuille de calcul,  nous avons essayés de déterminer la section d'acier d'un poteau de section rectangulaire puis conclure par rapport au ferraillage nécessaire</t>
  </si>
  <si>
    <t>Mohamed Yassine BEN HAJ HAMIDA</t>
  </si>
  <si>
    <t xml:space="preserve">choix </t>
  </si>
  <si>
    <t>HA/nbres</t>
  </si>
  <si>
    <t>Dernière mise à jour</t>
  </si>
  <si>
    <t xml:space="preserve"> coté du poteau</t>
  </si>
  <si>
    <t>Longueur libre du poteau</t>
  </si>
  <si>
    <t>1ére itération</t>
  </si>
  <si>
    <t>On suppose que le poteau est carré (a=b)</t>
  </si>
  <si>
    <t>Soit  λ=50</t>
  </si>
  <si>
    <t>a</t>
  </si>
  <si>
    <t>2ème itération</t>
  </si>
  <si>
    <t>3ème itération</t>
  </si>
  <si>
    <t>4ème itération</t>
  </si>
  <si>
    <t>cm2</t>
  </si>
  <si>
    <r>
      <t>σ</t>
    </r>
    <r>
      <rPr>
        <b/>
        <sz val="11"/>
        <color theme="1"/>
        <rFont val="Calibri"/>
        <family val="2"/>
      </rPr>
      <t>bc(Mpa)</t>
    </r>
  </si>
  <si>
    <r>
      <t>σ</t>
    </r>
    <r>
      <rPr>
        <b/>
        <sz val="11"/>
        <color theme="1"/>
        <rFont val="Calibri"/>
        <family val="2"/>
        <scheme val="minor"/>
      </rPr>
      <t>adm(Mpa)</t>
    </r>
  </si>
  <si>
    <t>Dans cette feuille de calcul,  nous avons essayés de déterminer la section d'acier d'un poteau de section carrée puis conclure par rapport au ferraillage nécessaire</t>
  </si>
  <si>
    <t>Maintenant</t>
  </si>
  <si>
    <t>heure</t>
  </si>
  <si>
    <t>minute</t>
  </si>
  <si>
    <t>seconde</t>
  </si>
  <si>
    <t>Bienvenue dans notre feuille de calcul selon la Norme BAEL 91 modifiée 99</t>
  </si>
  <si>
    <t>Med Youssef HSSINE</t>
  </si>
  <si>
    <t>m²</t>
  </si>
  <si>
    <t>Dans cette feuille de calcul,  nous avons essayés de calculer les moments agissants d'une dalle sue deux appuis puis conclure par rapport aux sections d'armatures</t>
  </si>
  <si>
    <t>Données de l'étude</t>
  </si>
  <si>
    <t>Lx =</t>
  </si>
  <si>
    <t>Charges ( G ) diverses</t>
  </si>
  <si>
    <t>Travée de rive</t>
  </si>
  <si>
    <t xml:space="preserve"> ( 1 ) Oui, ( 2 ) Non</t>
  </si>
  <si>
    <t>w</t>
  </si>
  <si>
    <t>e</t>
  </si>
  <si>
    <t>Ly =</t>
  </si>
  <si>
    <t>Epaisseur de la dalle</t>
  </si>
  <si>
    <t>ep ( m ) =</t>
  </si>
  <si>
    <t>FeE ( MPa ) =</t>
  </si>
  <si>
    <t>Contrainte du béton à 28 j</t>
  </si>
  <si>
    <t>Fc28 ( MPa ) =</t>
  </si>
  <si>
    <t xml:space="preserve">Coef Mw = </t>
  </si>
  <si>
    <t>Coef Me =</t>
  </si>
  <si>
    <t>Charges d'exploitations Q</t>
  </si>
  <si>
    <t>M0</t>
  </si>
  <si>
    <t>Q ( KN / m² ) =</t>
  </si>
  <si>
    <t>M0(w) prépond :</t>
  </si>
  <si>
    <t>M0(e) prépond :</t>
  </si>
  <si>
    <t>Enrobage des aciers</t>
  </si>
  <si>
    <t>KN.m</t>
  </si>
  <si>
    <t>C ( cm ) =</t>
  </si>
  <si>
    <t>M0 ( travée ) =</t>
  </si>
  <si>
    <t>Calcul des moments agissants</t>
  </si>
  <si>
    <t>Charges permanentes G</t>
  </si>
  <si>
    <t xml:space="preserve"> ( épaisseur dalle x 25 KN / m3 ) + G'</t>
  </si>
  <si>
    <t>G =</t>
  </si>
  <si>
    <t>KN / m²</t>
  </si>
  <si>
    <t>Effort ultime repris par le plancher</t>
  </si>
  <si>
    <t xml:space="preserve"> ( 1,35G + 1,5Q )</t>
  </si>
  <si>
    <t>Pu =</t>
  </si>
  <si>
    <t>KN / m</t>
  </si>
  <si>
    <t>Moment isostatique de la travée</t>
  </si>
  <si>
    <t xml:space="preserve"> ( Pu x Lx² ) / 8</t>
  </si>
  <si>
    <t>Mo (trav) =</t>
  </si>
  <si>
    <t>Moment sur appui gauche ( w )</t>
  </si>
  <si>
    <t xml:space="preserve"> ( M0(w) prépond x Coef Mw )</t>
  </si>
  <si>
    <t>Mw =</t>
  </si>
  <si>
    <t>Moment sur appui droite ( e )</t>
  </si>
  <si>
    <t xml:space="preserve"> ( M0(e) prépond x Coef Me )</t>
  </si>
  <si>
    <t>Me =</t>
  </si>
  <si>
    <t xml:space="preserve"> Q / ( G + Q )</t>
  </si>
  <si>
    <t>Calcul du coefficient l</t>
  </si>
  <si>
    <t>Moment dans la travée</t>
  </si>
  <si>
    <t>Mt =</t>
  </si>
  <si>
    <t>Vérification</t>
  </si>
  <si>
    <t xml:space="preserve"> Travée de rive =&gt;</t>
  </si>
  <si>
    <t xml:space="preserve"> Travée intermédiaire =&gt;</t>
  </si>
  <si>
    <t>Contrôle :</t>
  </si>
  <si>
    <t>Calcul des sections d'armatures</t>
  </si>
  <si>
    <t>Ferraillage de la travée sens ( Lx )</t>
  </si>
  <si>
    <r>
      <t xml:space="preserve"> Soit ( Mu ), moments agissants (</t>
    </r>
    <r>
      <rPr>
        <sz val="10"/>
        <rFont val="Symbol"/>
        <family val="1"/>
        <charset val="2"/>
      </rPr>
      <t>mm</t>
    </r>
    <r>
      <rPr>
        <sz val="9"/>
        <rFont val="Arial"/>
      </rPr>
      <t>&lt;</t>
    </r>
    <r>
      <rPr>
        <sz val="10"/>
        <rFont val="Symbol"/>
        <family val="1"/>
        <charset val="2"/>
      </rPr>
      <t>m</t>
    </r>
    <r>
      <rPr>
        <sz val="9"/>
        <rFont val="Arial"/>
      </rPr>
      <t>l)</t>
    </r>
  </si>
  <si>
    <t>Ax =</t>
  </si>
  <si>
    <t>cm² / m²</t>
  </si>
  <si>
    <t>Ferraillage sur appui ( w )</t>
  </si>
  <si>
    <t xml:space="preserve"> Calculs identiques à une section</t>
  </si>
  <si>
    <t>Ax ( w ) =</t>
  </si>
  <si>
    <t>Ferraillage sur appui ( e )</t>
  </si>
  <si>
    <t xml:space="preserve"> rectangulaire ( ELU )</t>
  </si>
  <si>
    <t>Ax ( e ) =</t>
  </si>
  <si>
    <t>Ferraillage mini dans le sens ( Ly )</t>
  </si>
  <si>
    <t xml:space="preserve"> ( 8 x ep ) pour FeE 400</t>
  </si>
  <si>
    <t xml:space="preserve"> ( 6 x ep ) pour FeE 500 ou TS</t>
  </si>
  <si>
    <r>
      <t>r</t>
    </r>
    <r>
      <rPr>
        <sz val="9"/>
        <rFont val="Arial"/>
      </rPr>
      <t>0( y ) =</t>
    </r>
  </si>
  <si>
    <t>Ferraillage mini dans le sens ( Lx )</t>
  </si>
  <si>
    <r>
      <t xml:space="preserve"> r</t>
    </r>
    <r>
      <rPr>
        <sz val="9"/>
        <rFont val="Arial"/>
      </rPr>
      <t xml:space="preserve">0( y ) x (( 3 - </t>
    </r>
    <r>
      <rPr>
        <sz val="10"/>
        <rFont val="Symbol"/>
        <family val="1"/>
        <charset val="2"/>
      </rPr>
      <t>a</t>
    </r>
    <r>
      <rPr>
        <sz val="9"/>
        <rFont val="Arial"/>
      </rPr>
      <t xml:space="preserve"> ) / 2)</t>
    </r>
  </si>
  <si>
    <r>
      <t>r</t>
    </r>
    <r>
      <rPr>
        <sz val="9"/>
        <rFont val="Arial"/>
      </rPr>
      <t>0( x ) =</t>
    </r>
  </si>
  <si>
    <t>Vérification de la contrainte de cisaillement</t>
  </si>
  <si>
    <t>Effort tranchant maximal ( sens L(x) )</t>
  </si>
  <si>
    <t>1,10 x (( Pu x L(x) ) / 2 )</t>
  </si>
  <si>
    <t>Vu.max =</t>
  </si>
  <si>
    <t>KN</t>
  </si>
  <si>
    <t>Contrainte tangente de travail</t>
  </si>
  <si>
    <t xml:space="preserve"> Vu / ( 1.00 x ( ep - C ))</t>
  </si>
  <si>
    <r>
      <t>t</t>
    </r>
    <r>
      <rPr>
        <sz val="9"/>
        <rFont val="Arial"/>
      </rPr>
      <t>u =</t>
    </r>
  </si>
  <si>
    <t>Contrainte tangente admissible</t>
  </si>
  <si>
    <t xml:space="preserve"> ( 0,07 x Fc28 ) / 1,5</t>
  </si>
  <si>
    <r>
      <t>t</t>
    </r>
    <r>
      <rPr>
        <sz val="9"/>
        <rFont val="Arial"/>
      </rPr>
      <t>u.adm =</t>
    </r>
  </si>
  <si>
    <r>
      <t xml:space="preserve"> t</t>
    </r>
    <r>
      <rPr>
        <sz val="9"/>
        <rFont val="Arial"/>
      </rPr>
      <t>u &lt;</t>
    </r>
    <r>
      <rPr>
        <sz val="10"/>
        <rFont val="Symbol"/>
        <family val="1"/>
        <charset val="2"/>
      </rPr>
      <t xml:space="preserve"> t</t>
    </r>
    <r>
      <rPr>
        <sz val="9"/>
        <rFont val="Arial"/>
      </rPr>
      <t>u.adm</t>
    </r>
  </si>
  <si>
    <t>Vérification :</t>
  </si>
  <si>
    <t xml:space="preserve">G' ( KN / m² ) </t>
  </si>
  <si>
    <r>
      <t xml:space="preserve">Calcul du coefficient </t>
    </r>
    <r>
      <rPr>
        <b/>
        <i/>
        <sz val="9"/>
        <rFont val="Times New Roman"/>
        <family val="1"/>
      </rPr>
      <t>a</t>
    </r>
  </si>
  <si>
    <r>
      <t xml:space="preserve"> Maxi ( 1,05 ; 1 + ( 0,3 x </t>
    </r>
    <r>
      <rPr>
        <sz val="10"/>
        <rFont val="Franklin Gothic Book"/>
        <family val="2"/>
      </rPr>
      <t>a</t>
    </r>
    <r>
      <rPr>
        <sz val="9"/>
        <rFont val="Franklin Gothic Book"/>
        <family val="2"/>
      </rPr>
      <t xml:space="preserve"> ))</t>
    </r>
  </si>
  <si>
    <r>
      <t xml:space="preserve"> [( 2 x </t>
    </r>
    <r>
      <rPr>
        <sz val="10"/>
        <rFont val="Franklin Gothic Book"/>
        <family val="2"/>
      </rPr>
      <t>l</t>
    </r>
    <r>
      <rPr>
        <sz val="9"/>
        <rFont val="Franklin Gothic Book"/>
        <family val="2"/>
      </rPr>
      <t xml:space="preserve"> x M0 ) - Me - Mw ] / 2</t>
    </r>
  </si>
  <si>
    <r>
      <t xml:space="preserve"> Mt &gt; [( 1,2 + 0,3</t>
    </r>
    <r>
      <rPr>
        <sz val="10"/>
        <rFont val="Franklin Gothic Book"/>
        <family val="2"/>
      </rPr>
      <t>a</t>
    </r>
    <r>
      <rPr>
        <sz val="9"/>
        <rFont val="Franklin Gothic Book"/>
        <family val="2"/>
      </rPr>
      <t xml:space="preserve"> ) / 2 ] x M0</t>
    </r>
  </si>
  <si>
    <r>
      <t xml:space="preserve"> Mt &gt; [( 1 + 0,3</t>
    </r>
    <r>
      <rPr>
        <sz val="10"/>
        <rFont val="Franklin Gothic Book"/>
        <family val="2"/>
      </rPr>
      <t>a</t>
    </r>
    <r>
      <rPr>
        <sz val="9"/>
        <rFont val="Franklin Gothic Book"/>
        <family val="2"/>
      </rPr>
      <t xml:space="preserve"> ) / 2 ] x M0</t>
    </r>
  </si>
  <si>
    <r>
      <t>a</t>
    </r>
    <r>
      <rPr>
        <sz val="14"/>
        <rFont val="Adobe Pi Std"/>
        <family val="5"/>
      </rPr>
      <t xml:space="preserve"> =</t>
    </r>
  </si>
  <si>
    <r>
      <t>l</t>
    </r>
    <r>
      <rPr>
        <sz val="14"/>
        <rFont val="Adobe Pi Std"/>
        <family val="5"/>
      </rPr>
      <t xml:space="preserve"> =</t>
    </r>
  </si>
  <si>
    <t>Lx ( m ) :</t>
  </si>
  <si>
    <t>Charges (G) diverses</t>
  </si>
  <si>
    <t>Coef Mn :</t>
  </si>
  <si>
    <t>M0(y)</t>
  </si>
  <si>
    <t>G' ( KN / m² ) =</t>
  </si>
  <si>
    <t>n</t>
  </si>
  <si>
    <t>Ly ( m ) :</t>
  </si>
  <si>
    <t>Coef Mt(y) :</t>
  </si>
  <si>
    <t xml:space="preserve"> w</t>
  </si>
  <si>
    <t xml:space="preserve">e </t>
  </si>
  <si>
    <t>Coef Ms :</t>
  </si>
  <si>
    <t>s</t>
  </si>
  <si>
    <t>Coef Mw :</t>
  </si>
  <si>
    <t>Coef Me :</t>
  </si>
  <si>
    <t>M0(x)</t>
  </si>
  <si>
    <t>Coef Mt(x) :</t>
  </si>
  <si>
    <t>Calculs des moments agissants</t>
  </si>
  <si>
    <t>Rapport des cotés ( Lx / Ly )</t>
  </si>
  <si>
    <t xml:space="preserve"> Lx / Ly</t>
  </si>
  <si>
    <r>
      <t>a</t>
    </r>
    <r>
      <rPr>
        <sz val="9"/>
        <rFont val="Arial"/>
      </rPr>
      <t xml:space="preserve"> =</t>
    </r>
  </si>
  <si>
    <t>KN /m²</t>
  </si>
  <si>
    <t xml:space="preserve"> ( 1.35G + 1.5Q )</t>
  </si>
  <si>
    <r>
      <t xml:space="preserve">Détermination des coef </t>
    </r>
    <r>
      <rPr>
        <sz val="10"/>
        <rFont val="Symbol"/>
        <family val="1"/>
        <charset val="2"/>
      </rPr>
      <t>m</t>
    </r>
    <r>
      <rPr>
        <sz val="9"/>
        <rFont val="Arial"/>
      </rPr>
      <t xml:space="preserve">x et </t>
    </r>
    <r>
      <rPr>
        <sz val="10"/>
        <rFont val="Symbol"/>
        <family val="1"/>
        <charset val="2"/>
      </rPr>
      <t>m</t>
    </r>
    <r>
      <rPr>
        <sz val="9"/>
        <rFont val="Arial"/>
      </rPr>
      <t>y</t>
    </r>
  </si>
  <si>
    <r>
      <t xml:space="preserve"> Dépend du rapport</t>
    </r>
    <r>
      <rPr>
        <sz val="9"/>
        <rFont val="Symbol"/>
        <family val="1"/>
        <charset val="2"/>
      </rPr>
      <t xml:space="preserve"> </t>
    </r>
    <r>
      <rPr>
        <sz val="10"/>
        <rFont val="Symbol"/>
        <family val="1"/>
        <charset val="2"/>
      </rPr>
      <t>a</t>
    </r>
  </si>
  <si>
    <r>
      <t>m</t>
    </r>
    <r>
      <rPr>
        <sz val="9"/>
        <rFont val="Arial"/>
      </rPr>
      <t>x =</t>
    </r>
  </si>
  <si>
    <t xml:space="preserve"> Tableau BAEL page 243, annexe E3</t>
  </si>
  <si>
    <r>
      <t>m</t>
    </r>
    <r>
      <rPr>
        <sz val="9"/>
        <rFont val="Arial"/>
      </rPr>
      <t>y =</t>
    </r>
  </si>
  <si>
    <t>Calcul des moments isostatiques</t>
  </si>
  <si>
    <r>
      <t xml:space="preserve"> Sens Lx = </t>
    </r>
    <r>
      <rPr>
        <sz val="9"/>
        <rFont val="Symbol"/>
        <family val="1"/>
        <charset val="2"/>
      </rPr>
      <t>m</t>
    </r>
    <r>
      <rPr>
        <sz val="9"/>
        <rFont val="Arial"/>
      </rPr>
      <t>x x ( Pu x Lx² )</t>
    </r>
  </si>
  <si>
    <t>M0(x) =</t>
  </si>
  <si>
    <r>
      <t xml:space="preserve"> Sens Ly = </t>
    </r>
    <r>
      <rPr>
        <sz val="9"/>
        <rFont val="Symbol"/>
        <family val="1"/>
        <charset val="2"/>
      </rPr>
      <t>m</t>
    </r>
    <r>
      <rPr>
        <sz val="9"/>
        <rFont val="Arial"/>
      </rPr>
      <t>y x M0(x)</t>
    </r>
  </si>
  <si>
    <t>M0(y) =</t>
  </si>
  <si>
    <t>Calcul des moments sur appuis</t>
  </si>
  <si>
    <t xml:space="preserve"> Mw = Coef Mw x M0(x)</t>
  </si>
  <si>
    <t xml:space="preserve"> Me = Coef Me x M0(x)</t>
  </si>
  <si>
    <t xml:space="preserve"> Mn = Coef Mn x M0(y)</t>
  </si>
  <si>
    <t>Mn =</t>
  </si>
  <si>
    <t xml:space="preserve"> Ms = Coef Ms x M0(y)</t>
  </si>
  <si>
    <t>Ms =</t>
  </si>
  <si>
    <t>Calcul des moments en travées</t>
  </si>
  <si>
    <t xml:space="preserve"> Mt(x) = Coef Mt(x) x M0(x)</t>
  </si>
  <si>
    <t>Mt(x) =</t>
  </si>
  <si>
    <t xml:space="preserve"> Mt(y) = Coef Mt(y) x M0(y)</t>
  </si>
  <si>
    <t>Mt(y) =</t>
  </si>
  <si>
    <t>Ferraillage de la travée dans le sens ( Lx )</t>
  </si>
  <si>
    <t xml:space="preserve"> Soit ( Mu ), les moments agissants</t>
  </si>
  <si>
    <t>Ax ( trav )=</t>
  </si>
  <si>
    <r>
      <t xml:space="preserve"> </t>
    </r>
    <r>
      <rPr>
        <u/>
        <sz val="9"/>
        <rFont val="Arial"/>
        <family val="2"/>
      </rPr>
      <t>Conditions</t>
    </r>
    <r>
      <rPr>
        <sz val="9"/>
        <rFont val="Arial"/>
      </rPr>
      <t xml:space="preserve"> :  </t>
    </r>
    <r>
      <rPr>
        <sz val="10"/>
        <rFont val="Symbol"/>
        <family val="1"/>
        <charset val="2"/>
      </rPr>
      <t>mm</t>
    </r>
    <r>
      <rPr>
        <sz val="9"/>
        <rFont val="Arial"/>
      </rPr>
      <t xml:space="preserve"> &lt; </t>
    </r>
    <r>
      <rPr>
        <sz val="10"/>
        <rFont val="Symbol"/>
        <family val="1"/>
        <charset val="2"/>
      </rPr>
      <t>m</t>
    </r>
    <r>
      <rPr>
        <sz val="9"/>
        <rFont val="Arial"/>
      </rPr>
      <t>l de Perchat</t>
    </r>
  </si>
  <si>
    <t xml:space="preserve"> Les calculs s'effectuent comme pour</t>
  </si>
  <si>
    <t>Ferraillage de la travée dans le sens ( Ly )</t>
  </si>
  <si>
    <t xml:space="preserve"> une section rectangulaire</t>
  </si>
  <si>
    <t>Ay ( trav )=</t>
  </si>
  <si>
    <t>Ferraillage sur appui ( n )</t>
  </si>
  <si>
    <t xml:space="preserve"> La largeur ( b ) sera alors = 1,00m</t>
  </si>
  <si>
    <t>Ay ( n ) =</t>
  </si>
  <si>
    <t>Ferraillage sur appui ( s )</t>
  </si>
  <si>
    <t>Ay ( s ) =</t>
  </si>
  <si>
    <t>Ferraillage mini dans la travée ( Ly )</t>
  </si>
  <si>
    <r>
      <t xml:space="preserve"> Il faut que Ay &gt; </t>
    </r>
    <r>
      <rPr>
        <sz val="10"/>
        <rFont val="Symbol"/>
        <family val="1"/>
        <charset val="2"/>
      </rPr>
      <t>r</t>
    </r>
    <r>
      <rPr>
        <sz val="9"/>
        <rFont val="Arial"/>
      </rPr>
      <t>0( y )</t>
    </r>
  </si>
  <si>
    <t>Ferraillage mini dans la travée ( Lx )</t>
  </si>
  <si>
    <r>
      <t xml:space="preserve"> Il faut que Ax &gt; </t>
    </r>
    <r>
      <rPr>
        <sz val="10"/>
        <rFont val="Symbol"/>
        <family val="1"/>
        <charset val="2"/>
      </rPr>
      <t>r</t>
    </r>
    <r>
      <rPr>
        <sz val="9"/>
        <rFont val="Arial"/>
      </rPr>
      <t>0( x )</t>
    </r>
  </si>
  <si>
    <t>Effort tranchant maximal ( Maxi Ly )</t>
  </si>
  <si>
    <t xml:space="preserve"> ( Pu x Lx x Ly ) / (( 2 x Ly ) + Lx )</t>
  </si>
  <si>
    <t>Contrainte tangente de travail admissible</t>
  </si>
  <si>
    <t xml:space="preserve"> ( 0.07 x Fc28 ) / 1.5</t>
  </si>
  <si>
    <t xml:space="preserve"> Dans cette feuille de calcul, nous avons essayés de calculer les moments agissants d'une dalle sur quatre appuis puis conclure par rapport aux sections d'armatures</t>
  </si>
  <si>
    <t>Dalle sur 4 appuis</t>
  </si>
  <si>
    <t>Dalle sur 2 appuis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</si>
</sst>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0.0000"/>
    <numFmt numFmtId="166" formatCode="0.000"/>
  </numFmts>
  <fonts count="59">
    <font>
      <sz val="11"/>
      <color theme="1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b/>
      <i/>
      <u/>
      <sz val="24"/>
      <name val="Times New Roman"/>
      <family val="1"/>
    </font>
    <font>
      <b/>
      <i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sz val="14"/>
      <color theme="0"/>
      <name val="Times New Roman"/>
      <family val="1"/>
    </font>
    <font>
      <b/>
      <i/>
      <u/>
      <sz val="11"/>
      <color theme="0"/>
      <name val="Calibri"/>
      <family val="2"/>
      <scheme val="minor"/>
    </font>
    <font>
      <i/>
      <sz val="48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24"/>
      <color theme="1"/>
      <name val="Calibri"/>
      <family val="2"/>
      <scheme val="minor"/>
    </font>
    <font>
      <b/>
      <i/>
      <sz val="11"/>
      <color theme="1"/>
      <name val="Times New Roman"/>
      <family val="1"/>
    </font>
    <font>
      <b/>
      <i/>
      <u/>
      <sz val="11"/>
      <color theme="0"/>
      <name val="Times New Roman"/>
      <family val="1"/>
    </font>
    <font>
      <b/>
      <i/>
      <u/>
      <sz val="14"/>
      <color theme="0"/>
      <name val="Times New Roman"/>
      <family val="1"/>
    </font>
    <font>
      <b/>
      <i/>
      <u/>
      <sz val="16"/>
      <color indexed="9"/>
      <name val="Arial"/>
      <family val="2"/>
    </font>
    <font>
      <b/>
      <i/>
      <sz val="9"/>
      <name val="Arial"/>
      <family val="2"/>
    </font>
    <font>
      <b/>
      <i/>
      <u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u/>
      <sz val="11"/>
      <name val="Imprint MT Shadow"/>
      <family val="5"/>
    </font>
    <font>
      <b/>
      <i/>
      <u/>
      <sz val="11"/>
      <color theme="1"/>
      <name val="Imprint MT Shadow"/>
      <family val="5"/>
    </font>
    <font>
      <b/>
      <i/>
      <u/>
      <sz val="11"/>
      <color theme="1"/>
      <name val="3ds"/>
    </font>
    <font>
      <b/>
      <i/>
      <u/>
      <sz val="11"/>
      <name val="3ds"/>
    </font>
    <font>
      <b/>
      <i/>
      <sz val="11"/>
      <name val="3ds"/>
    </font>
    <font>
      <b/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1"/>
      <name val="Adobe Ming Std L"/>
      <family val="1"/>
      <charset val="128"/>
    </font>
    <font>
      <b/>
      <i/>
      <sz val="9"/>
      <name val="Adobe Ming Std L"/>
      <family val="1"/>
      <charset val="128"/>
    </font>
    <font>
      <b/>
      <i/>
      <sz val="10"/>
      <name val="Arial"/>
      <family val="2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i/>
      <sz val="11"/>
      <color theme="1"/>
      <name val="3ds"/>
    </font>
    <font>
      <b/>
      <i/>
      <sz val="14"/>
      <color theme="1"/>
      <name val="Calibri"/>
      <family val="2"/>
      <scheme val="minor"/>
    </font>
    <font>
      <b/>
      <i/>
      <sz val="14"/>
      <color theme="1"/>
      <name val="Book Antiqua"/>
      <family val="1"/>
    </font>
    <font>
      <sz val="11"/>
      <color rgb="FF7030A0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i/>
      <u/>
      <sz val="14"/>
      <color theme="0"/>
      <name val="Algerian"/>
      <family val="5"/>
    </font>
    <font>
      <b/>
      <i/>
      <sz val="11"/>
      <color theme="1"/>
      <name val="Calibri"/>
      <scheme val="minor"/>
    </font>
    <font>
      <b/>
      <sz val="1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z val="10"/>
      <name val="Symbol"/>
      <family val="1"/>
      <charset val="2"/>
    </font>
    <font>
      <sz val="9"/>
      <name val="Arial"/>
    </font>
    <font>
      <b/>
      <i/>
      <sz val="11"/>
      <name val="Times New Roman"/>
      <family val="1"/>
    </font>
    <font>
      <b/>
      <i/>
      <sz val="9"/>
      <name val="Times New Roman"/>
      <family val="1"/>
    </font>
    <font>
      <i/>
      <sz val="11"/>
      <color theme="1"/>
      <name val="Adobe Pi Std"/>
      <family val="5"/>
    </font>
    <font>
      <sz val="10"/>
      <name val="Franklin Gothic Book"/>
      <family val="2"/>
    </font>
    <font>
      <sz val="9"/>
      <name val="Franklin Gothic Book"/>
      <family val="2"/>
    </font>
    <font>
      <b/>
      <sz val="11"/>
      <name val="Franklin Gothic Book"/>
      <family val="2"/>
    </font>
    <font>
      <i/>
      <sz val="16"/>
      <name val="3DS Fonticon"/>
    </font>
    <font>
      <i/>
      <sz val="14"/>
      <name val="Adobe Pi Std"/>
      <family val="5"/>
    </font>
    <font>
      <sz val="14"/>
      <name val="Adobe Pi Std"/>
      <family val="5"/>
    </font>
    <font>
      <b/>
      <sz val="12"/>
      <color indexed="9"/>
      <name val="Arial"/>
      <family val="2"/>
    </font>
    <font>
      <sz val="10"/>
      <color indexed="9"/>
      <name val="Arial"/>
      <family val="2"/>
    </font>
    <font>
      <sz val="9"/>
      <name val="Symbol"/>
      <family val="1"/>
      <charset val="2"/>
    </font>
    <font>
      <u/>
      <sz val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8BAE6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7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29" fillId="9" borderId="0" applyNumberFormat="0" applyBorder="0" applyAlignment="0" applyProtection="0"/>
  </cellStyleXfs>
  <cellXfs count="439">
    <xf numFmtId="0" fontId="0" fillId="0" borderId="0" xfId="0"/>
    <xf numFmtId="0" fontId="0" fillId="2" borderId="0" xfId="0" applyFill="1"/>
    <xf numFmtId="0" fontId="0" fillId="5" borderId="19" xfId="0" applyFill="1" applyBorder="1"/>
    <xf numFmtId="0" fontId="0" fillId="5" borderId="0" xfId="0" applyFill="1" applyBorder="1"/>
    <xf numFmtId="0" fontId="0" fillId="5" borderId="22" xfId="0" applyFill="1" applyBorder="1"/>
    <xf numFmtId="0" fontId="0" fillId="6" borderId="0" xfId="0" applyFill="1"/>
    <xf numFmtId="0" fontId="7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9" fillId="6" borderId="0" xfId="0" applyFont="1" applyFill="1" applyAlignment="1">
      <alignment vertical="center"/>
    </xf>
    <xf numFmtId="0" fontId="10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vertical="center"/>
    </xf>
    <xf numFmtId="0" fontId="11" fillId="6" borderId="0" xfId="0" applyFont="1" applyFill="1"/>
    <xf numFmtId="0" fontId="3" fillId="2" borderId="0" xfId="0" applyFont="1" applyFill="1" applyBorder="1" applyAlignment="1">
      <alignment vertical="center"/>
    </xf>
    <xf numFmtId="0" fontId="3" fillId="7" borderId="6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/>
    </xf>
    <xf numFmtId="0" fontId="3" fillId="7" borderId="7" xfId="0" applyFont="1" applyFill="1" applyBorder="1" applyAlignment="1">
      <alignment horizontal="center"/>
    </xf>
    <xf numFmtId="0" fontId="3" fillId="7" borderId="8" xfId="0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  <xf numFmtId="0" fontId="3" fillId="7" borderId="11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 vertical="center"/>
    </xf>
    <xf numFmtId="0" fontId="3" fillId="7" borderId="27" xfId="0" applyFont="1" applyFill="1" applyBorder="1" applyAlignment="1">
      <alignment horizontal="center" vertical="center"/>
    </xf>
    <xf numFmtId="0" fontId="19" fillId="5" borderId="26" xfId="0" applyFont="1" applyFill="1" applyBorder="1" applyAlignment="1" applyProtection="1">
      <alignment horizontal="center" vertical="center"/>
      <protection hidden="1"/>
    </xf>
    <xf numFmtId="2" fontId="3" fillId="7" borderId="6" xfId="0" applyNumberFormat="1" applyFont="1" applyFill="1" applyBorder="1" applyAlignment="1">
      <alignment horizontal="center" vertical="center"/>
    </xf>
    <xf numFmtId="0" fontId="22" fillId="8" borderId="33" xfId="0" applyFont="1" applyFill="1" applyBorder="1" applyAlignment="1" applyProtection="1">
      <alignment horizontal="center" vertical="center"/>
      <protection hidden="1"/>
    </xf>
    <xf numFmtId="0" fontId="22" fillId="8" borderId="26" xfId="0" applyFont="1" applyFill="1" applyBorder="1" applyAlignment="1" applyProtection="1">
      <alignment horizontal="center" vertical="center"/>
      <protection hidden="1"/>
    </xf>
    <xf numFmtId="0" fontId="22" fillId="8" borderId="26" xfId="0" quotePrefix="1" applyFont="1" applyFill="1" applyBorder="1" applyAlignment="1" applyProtection="1">
      <alignment horizontal="center" vertical="center"/>
      <protection hidden="1"/>
    </xf>
    <xf numFmtId="0" fontId="22" fillId="8" borderId="37" xfId="0" quotePrefix="1" applyFont="1" applyFill="1" applyBorder="1" applyAlignment="1" applyProtection="1">
      <alignment horizontal="center" vertical="center"/>
      <protection hidden="1"/>
    </xf>
    <xf numFmtId="0" fontId="21" fillId="8" borderId="34" xfId="0" applyFont="1" applyFill="1" applyBorder="1" applyAlignment="1">
      <alignment horizontal="center"/>
    </xf>
    <xf numFmtId="0" fontId="21" fillId="8" borderId="14" xfId="0" applyFont="1" applyFill="1" applyBorder="1" applyAlignment="1">
      <alignment horizontal="center"/>
    </xf>
    <xf numFmtId="0" fontId="22" fillId="8" borderId="14" xfId="0" quotePrefix="1" applyFont="1" applyFill="1" applyBorder="1" applyAlignment="1" applyProtection="1">
      <alignment horizontal="center" vertical="center"/>
      <protection hidden="1"/>
    </xf>
    <xf numFmtId="0" fontId="22" fillId="8" borderId="14" xfId="0" applyFont="1" applyFill="1" applyBorder="1" applyAlignment="1" applyProtection="1">
      <alignment horizontal="center" vertical="center"/>
      <protection hidden="1"/>
    </xf>
    <xf numFmtId="0" fontId="20" fillId="5" borderId="17" xfId="0" applyFont="1" applyFill="1" applyBorder="1" applyAlignment="1">
      <alignment horizontal="center"/>
    </xf>
    <xf numFmtId="0" fontId="20" fillId="5" borderId="18" xfId="0" applyFont="1" applyFill="1" applyBorder="1" applyAlignment="1">
      <alignment horizontal="center"/>
    </xf>
    <xf numFmtId="0" fontId="26" fillId="7" borderId="27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27" fillId="7" borderId="6" xfId="0" quotePrefix="1" applyFont="1" applyFill="1" applyBorder="1" applyAlignment="1" applyProtection="1">
      <alignment horizontal="center" vertical="center"/>
      <protection hidden="1"/>
    </xf>
    <xf numFmtId="0" fontId="3" fillId="7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 vertical="center"/>
    </xf>
    <xf numFmtId="0" fontId="3" fillId="7" borderId="25" xfId="0" applyFont="1" applyFill="1" applyBorder="1" applyAlignment="1">
      <alignment horizontal="center" vertical="center"/>
    </xf>
    <xf numFmtId="0" fontId="19" fillId="5" borderId="41" xfId="0" applyFont="1" applyFill="1" applyBorder="1" applyAlignment="1" applyProtection="1">
      <alignment horizontal="center" vertical="center"/>
      <protection hidden="1"/>
    </xf>
    <xf numFmtId="0" fontId="26" fillId="7" borderId="6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21" fillId="8" borderId="14" xfId="0" applyFont="1" applyFill="1" applyBorder="1" applyAlignment="1">
      <alignment horizontal="center"/>
    </xf>
    <xf numFmtId="0" fontId="21" fillId="8" borderId="14" xfId="0" applyFont="1" applyFill="1" applyBorder="1" applyAlignment="1">
      <alignment horizontal="center" vertical="center"/>
    </xf>
    <xf numFmtId="0" fontId="21" fillId="8" borderId="15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3" fillId="13" borderId="27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3" fillId="13" borderId="0" xfId="0" applyFont="1" applyFill="1" applyBorder="1" applyAlignment="1">
      <alignment horizontal="center" vertical="center"/>
    </xf>
    <xf numFmtId="0" fontId="15" fillId="14" borderId="28" xfId="0" applyFont="1" applyFill="1" applyBorder="1" applyAlignment="1" applyProtection="1">
      <alignment horizontal="center" vertical="center"/>
      <protection hidden="1"/>
    </xf>
    <xf numFmtId="0" fontId="15" fillId="14" borderId="8" xfId="0" applyFont="1" applyFill="1" applyBorder="1" applyAlignment="1" applyProtection="1">
      <alignment horizontal="center" vertical="center"/>
      <protection hidden="1"/>
    </xf>
    <xf numFmtId="0" fontId="15" fillId="14" borderId="11" xfId="0" applyFont="1" applyFill="1" applyBorder="1" applyAlignment="1" applyProtection="1">
      <alignment horizontal="center" vertical="center"/>
      <protection hidden="1"/>
    </xf>
    <xf numFmtId="0" fontId="15" fillId="14" borderId="31" xfId="0" applyFont="1" applyFill="1" applyBorder="1" applyAlignment="1" applyProtection="1">
      <alignment horizontal="center" vertical="center"/>
      <protection hidden="1"/>
    </xf>
    <xf numFmtId="0" fontId="32" fillId="14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center" vertical="center"/>
    </xf>
    <xf numFmtId="0" fontId="32" fillId="4" borderId="1" xfId="0" applyFont="1" applyFill="1" applyBorder="1" applyAlignment="1">
      <alignment horizontal="center" vertical="center"/>
    </xf>
    <xf numFmtId="0" fontId="32" fillId="5" borderId="1" xfId="0" applyFont="1" applyFill="1" applyBorder="1" applyAlignment="1">
      <alignment horizontal="center" vertical="center"/>
    </xf>
    <xf numFmtId="0" fontId="32" fillId="16" borderId="1" xfId="0" applyFont="1" applyFill="1" applyBorder="1" applyAlignment="1">
      <alignment horizontal="center" vertical="center"/>
    </xf>
    <xf numFmtId="0" fontId="34" fillId="4" borderId="1" xfId="0" applyFont="1" applyFill="1" applyBorder="1" applyAlignment="1">
      <alignment horizontal="center" vertical="center"/>
    </xf>
    <xf numFmtId="14" fontId="4" fillId="15" borderId="1" xfId="0" applyNumberFormat="1" applyFont="1" applyFill="1" applyBorder="1" applyAlignment="1">
      <alignment horizontal="center" vertical="center"/>
    </xf>
    <xf numFmtId="0" fontId="3" fillId="13" borderId="13" xfId="0" applyFont="1" applyFill="1" applyBorder="1" applyAlignment="1">
      <alignment horizontal="center" vertical="center"/>
    </xf>
    <xf numFmtId="0" fontId="36" fillId="10" borderId="1" xfId="0" applyFont="1" applyFill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26" fillId="7" borderId="1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0" fontId="22" fillId="8" borderId="40" xfId="0" applyFont="1" applyFill="1" applyBorder="1" applyAlignment="1" applyProtection="1">
      <alignment horizontal="center" vertical="center"/>
      <protection hidden="1"/>
    </xf>
    <xf numFmtId="0" fontId="3" fillId="13" borderId="14" xfId="0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2" fillId="8" borderId="53" xfId="0" applyFont="1" applyFill="1" applyBorder="1" applyAlignment="1" applyProtection="1">
      <alignment horizontal="center" vertical="center"/>
      <protection hidden="1"/>
    </xf>
    <xf numFmtId="0" fontId="3" fillId="13" borderId="43" xfId="0" applyFont="1" applyFill="1" applyBorder="1" applyAlignment="1">
      <alignment horizontal="center" vertical="center"/>
    </xf>
    <xf numFmtId="0" fontId="15" fillId="14" borderId="1" xfId="0" applyFont="1" applyFill="1" applyBorder="1" applyAlignment="1" applyProtection="1">
      <alignment horizontal="center" vertical="center"/>
      <protection hidden="1"/>
    </xf>
    <xf numFmtId="0" fontId="3" fillId="13" borderId="53" xfId="0" applyFont="1" applyFill="1" applyBorder="1" applyAlignment="1">
      <alignment horizontal="center" vertical="center"/>
    </xf>
    <xf numFmtId="0" fontId="26" fillId="7" borderId="1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 vertical="center"/>
    </xf>
    <xf numFmtId="0" fontId="24" fillId="3" borderId="6" xfId="0" applyFont="1" applyFill="1" applyBorder="1" applyAlignment="1">
      <alignment horizontal="center" vertical="center"/>
    </xf>
    <xf numFmtId="0" fontId="24" fillId="3" borderId="48" xfId="0" applyFont="1" applyFill="1" applyBorder="1" applyAlignment="1">
      <alignment horizontal="center" vertical="center"/>
    </xf>
    <xf numFmtId="0" fontId="15" fillId="14" borderId="49" xfId="0" applyFont="1" applyFill="1" applyBorder="1" applyAlignment="1" applyProtection="1">
      <alignment horizontal="center" vertical="center"/>
      <protection hidden="1"/>
    </xf>
    <xf numFmtId="0" fontId="3" fillId="13" borderId="45" xfId="0" applyFont="1" applyFill="1" applyBorder="1" applyAlignment="1">
      <alignment horizontal="center" vertical="center"/>
    </xf>
    <xf numFmtId="0" fontId="24" fillId="3" borderId="51" xfId="0" applyFont="1" applyFill="1" applyBorder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164" fontId="0" fillId="6" borderId="6" xfId="0" applyNumberFormat="1" applyFill="1" applyBorder="1" applyAlignment="1">
      <alignment horizontal="center" vertical="center"/>
    </xf>
    <xf numFmtId="0" fontId="0" fillId="6" borderId="0" xfId="0" applyFill="1" applyAlignment="1"/>
    <xf numFmtId="0" fontId="40" fillId="6" borderId="0" xfId="0" applyFont="1" applyFill="1" applyAlignment="1">
      <alignment horizontal="center" vertical="center"/>
    </xf>
    <xf numFmtId="0" fontId="25" fillId="17" borderId="6" xfId="0" applyFont="1" applyFill="1" applyBorder="1" applyAlignment="1">
      <alignment horizontal="center" vertical="center"/>
    </xf>
    <xf numFmtId="0" fontId="25" fillId="17" borderId="1" xfId="0" applyFont="1" applyFill="1" applyBorder="1" applyAlignment="1">
      <alignment horizontal="center" vertical="center"/>
    </xf>
    <xf numFmtId="0" fontId="41" fillId="17" borderId="4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2" fontId="42" fillId="18" borderId="14" xfId="0" applyNumberFormat="1" applyFont="1" applyFill="1" applyBorder="1" applyAlignment="1" applyProtection="1">
      <alignment horizontal="centerContinuous" vertical="center"/>
      <protection hidden="1"/>
    </xf>
    <xf numFmtId="2" fontId="42" fillId="18" borderId="6" xfId="0" applyNumberFormat="1" applyFont="1" applyFill="1" applyBorder="1" applyAlignment="1" applyProtection="1">
      <alignment horizontal="center" vertical="center"/>
      <protection locked="0"/>
    </xf>
    <xf numFmtId="0" fontId="42" fillId="19" borderId="60" xfId="0" applyFont="1" applyFill="1" applyBorder="1" applyAlignment="1" applyProtection="1">
      <alignment vertical="center"/>
      <protection hidden="1"/>
    </xf>
    <xf numFmtId="0" fontId="42" fillId="19" borderId="61" xfId="0" applyFont="1" applyFill="1" applyBorder="1" applyAlignment="1" applyProtection="1">
      <alignment vertical="center"/>
      <protection hidden="1"/>
    </xf>
    <xf numFmtId="0" fontId="42" fillId="19" borderId="62" xfId="0" applyFont="1" applyFill="1" applyBorder="1" applyAlignment="1" applyProtection="1">
      <alignment vertical="center"/>
      <protection hidden="1"/>
    </xf>
    <xf numFmtId="0" fontId="43" fillId="19" borderId="19" xfId="0" applyFont="1" applyFill="1" applyBorder="1" applyAlignment="1" applyProtection="1">
      <alignment vertical="center"/>
      <protection hidden="1"/>
    </xf>
    <xf numFmtId="0" fontId="42" fillId="19" borderId="0" xfId="0" applyFont="1" applyFill="1" applyBorder="1" applyAlignment="1" applyProtection="1">
      <alignment vertical="center"/>
      <protection hidden="1"/>
    </xf>
    <xf numFmtId="0" fontId="42" fillId="19" borderId="19" xfId="0" applyFont="1" applyFill="1" applyBorder="1" applyAlignment="1" applyProtection="1">
      <alignment vertical="center"/>
      <protection hidden="1"/>
    </xf>
    <xf numFmtId="0" fontId="42" fillId="19" borderId="22" xfId="0" applyFont="1" applyFill="1" applyBorder="1" applyAlignment="1" applyProtection="1">
      <alignment vertical="center"/>
      <protection hidden="1"/>
    </xf>
    <xf numFmtId="0" fontId="42" fillId="19" borderId="63" xfId="0" applyFont="1" applyFill="1" applyBorder="1" applyAlignment="1" applyProtection="1">
      <alignment vertical="center"/>
      <protection hidden="1"/>
    </xf>
    <xf numFmtId="0" fontId="42" fillId="19" borderId="64" xfId="0" applyFont="1" applyFill="1" applyBorder="1" applyAlignment="1" applyProtection="1">
      <alignment vertical="center"/>
      <protection hidden="1"/>
    </xf>
    <xf numFmtId="0" fontId="42" fillId="19" borderId="65" xfId="0" applyFont="1" applyFill="1" applyBorder="1" applyAlignment="1" applyProtection="1">
      <alignment vertical="center"/>
      <protection hidden="1"/>
    </xf>
    <xf numFmtId="0" fontId="42" fillId="0" borderId="0" xfId="0" applyFont="1" applyBorder="1" applyAlignment="1" applyProtection="1">
      <alignment horizontal="center" vertical="center"/>
      <protection hidden="1"/>
    </xf>
    <xf numFmtId="0" fontId="43" fillId="19" borderId="22" xfId="0" applyFont="1" applyFill="1" applyBorder="1" applyAlignment="1" applyProtection="1">
      <alignment horizontal="right" vertical="center"/>
      <protection hidden="1"/>
    </xf>
    <xf numFmtId="0" fontId="15" fillId="14" borderId="6" xfId="0" applyFont="1" applyFill="1" applyBorder="1" applyAlignment="1" applyProtection="1">
      <alignment vertical="center"/>
      <protection hidden="1"/>
    </xf>
    <xf numFmtId="2" fontId="42" fillId="18" borderId="13" xfId="0" applyNumberFormat="1" applyFont="1" applyFill="1" applyBorder="1" applyAlignment="1" applyProtection="1">
      <alignment horizontal="center" vertical="center"/>
      <protection locked="0"/>
    </xf>
    <xf numFmtId="2" fontId="42" fillId="18" borderId="58" xfId="0" applyNumberFormat="1" applyFont="1" applyFill="1" applyBorder="1" applyAlignment="1" applyProtection="1">
      <alignment horizontal="center" vertical="center"/>
      <protection locked="0"/>
    </xf>
    <xf numFmtId="0" fontId="15" fillId="14" borderId="13" xfId="0" applyFont="1" applyFill="1" applyBorder="1" applyAlignment="1" applyProtection="1">
      <alignment horizontal="left" vertical="center"/>
      <protection hidden="1"/>
    </xf>
    <xf numFmtId="2" fontId="42" fillId="18" borderId="77" xfId="0" applyNumberFormat="1" applyFont="1" applyFill="1" applyBorder="1" applyAlignment="1" applyProtection="1">
      <alignment vertical="center"/>
      <protection locked="0"/>
    </xf>
    <xf numFmtId="0" fontId="42" fillId="0" borderId="25" xfId="0" applyFont="1" applyBorder="1" applyAlignment="1" applyProtection="1">
      <alignment vertical="center"/>
      <protection hidden="1"/>
    </xf>
    <xf numFmtId="0" fontId="15" fillId="14" borderId="32" xfId="0" applyFont="1" applyFill="1" applyBorder="1" applyAlignment="1" applyProtection="1">
      <alignment vertical="center"/>
      <protection hidden="1"/>
    </xf>
    <xf numFmtId="0" fontId="15" fillId="14" borderId="4" xfId="0" applyFont="1" applyFill="1" applyBorder="1" applyAlignment="1" applyProtection="1">
      <alignment horizontal="left" vertical="center"/>
      <protection hidden="1"/>
    </xf>
    <xf numFmtId="2" fontId="3" fillId="13" borderId="1" xfId="0" applyNumberFormat="1" applyFont="1" applyFill="1" applyBorder="1" applyAlignment="1">
      <alignment horizontal="center" vertical="center"/>
    </xf>
    <xf numFmtId="0" fontId="55" fillId="21" borderId="2" xfId="0" applyFont="1" applyFill="1" applyBorder="1" applyAlignment="1" applyProtection="1">
      <alignment horizontal="centerContinuous" vertical="center"/>
      <protection hidden="1"/>
    </xf>
    <xf numFmtId="0" fontId="56" fillId="21" borderId="3" xfId="0" applyFont="1" applyFill="1" applyBorder="1" applyAlignment="1" applyProtection="1">
      <alignment horizontal="centerContinuous" vertical="center"/>
      <protection hidden="1"/>
    </xf>
    <xf numFmtId="0" fontId="56" fillId="21" borderId="4" xfId="0" applyFont="1" applyFill="1" applyBorder="1" applyAlignment="1" applyProtection="1">
      <alignment horizontal="centerContinuous" vertical="center"/>
      <protection hidden="1"/>
    </xf>
    <xf numFmtId="0" fontId="42" fillId="0" borderId="0" xfId="0" applyFont="1" applyAlignment="1" applyProtection="1">
      <alignment vertical="center"/>
      <protection hidden="1"/>
    </xf>
    <xf numFmtId="0" fontId="42" fillId="0" borderId="0" xfId="0" quotePrefix="1" applyFont="1" applyAlignment="1" applyProtection="1">
      <alignment horizontal="right" vertical="center"/>
      <protection hidden="1"/>
    </xf>
    <xf numFmtId="0" fontId="42" fillId="0" borderId="0" xfId="0" quotePrefix="1" applyFont="1" applyAlignment="1" applyProtection="1">
      <alignment horizontal="left" vertical="center"/>
      <protection hidden="1"/>
    </xf>
    <xf numFmtId="0" fontId="43" fillId="19" borderId="80" xfId="0" applyFont="1" applyFill="1" applyBorder="1" applyAlignment="1" applyProtection="1">
      <alignment horizontal="centerContinuous" vertical="center"/>
      <protection hidden="1"/>
    </xf>
    <xf numFmtId="0" fontId="42" fillId="19" borderId="5" xfId="0" applyFont="1" applyFill="1" applyBorder="1" applyAlignment="1" applyProtection="1">
      <alignment horizontal="centerContinuous" vertical="center"/>
      <protection hidden="1"/>
    </xf>
    <xf numFmtId="0" fontId="42" fillId="19" borderId="81" xfId="0" applyFont="1" applyFill="1" applyBorder="1" applyAlignment="1" applyProtection="1">
      <alignment vertical="center"/>
      <protection hidden="1"/>
    </xf>
    <xf numFmtId="0" fontId="42" fillId="19" borderId="83" xfId="0" applyFont="1" applyFill="1" applyBorder="1" applyAlignment="1" applyProtection="1">
      <alignment vertical="center"/>
      <protection hidden="1"/>
    </xf>
    <xf numFmtId="0" fontId="42" fillId="19" borderId="84" xfId="0" applyFont="1" applyFill="1" applyBorder="1" applyAlignment="1" applyProtection="1">
      <alignment vertical="center"/>
      <protection hidden="1"/>
    </xf>
    <xf numFmtId="0" fontId="42" fillId="19" borderId="82" xfId="0" applyFont="1" applyFill="1" applyBorder="1" applyAlignment="1" applyProtection="1">
      <alignment vertical="center"/>
      <protection hidden="1"/>
    </xf>
    <xf numFmtId="2" fontId="42" fillId="20" borderId="6" xfId="0" applyNumberFormat="1" applyFont="1" applyFill="1" applyBorder="1" applyAlignment="1" applyProtection="1">
      <alignment horizontal="center" vertical="center"/>
      <protection hidden="1"/>
    </xf>
    <xf numFmtId="0" fontId="43" fillId="19" borderId="19" xfId="0" quotePrefix="1" applyFont="1" applyFill="1" applyBorder="1" applyAlignment="1" applyProtection="1">
      <alignment horizontal="left" vertical="center"/>
      <protection hidden="1"/>
    </xf>
    <xf numFmtId="0" fontId="43" fillId="19" borderId="82" xfId="0" quotePrefix="1" applyFont="1" applyFill="1" applyBorder="1" applyAlignment="1" applyProtection="1">
      <alignment horizontal="right" vertical="center"/>
      <protection hidden="1"/>
    </xf>
    <xf numFmtId="0" fontId="43" fillId="19" borderId="85" xfId="0" applyFont="1" applyFill="1" applyBorder="1" applyAlignment="1" applyProtection="1">
      <alignment horizontal="centerContinuous" vertical="center"/>
      <protection hidden="1"/>
    </xf>
    <xf numFmtId="0" fontId="42" fillId="19" borderId="24" xfId="0" applyFont="1" applyFill="1" applyBorder="1" applyAlignment="1" applyProtection="1">
      <alignment horizontal="centerContinuous" vertical="center"/>
      <protection hidden="1"/>
    </xf>
    <xf numFmtId="0" fontId="43" fillId="0" borderId="0" xfId="0" applyFont="1" applyAlignment="1" applyProtection="1">
      <alignment horizontal="center" vertical="center"/>
      <protection hidden="1"/>
    </xf>
    <xf numFmtId="0" fontId="42" fillId="0" borderId="56" xfId="0" quotePrefix="1" applyFont="1" applyBorder="1" applyAlignment="1" applyProtection="1">
      <alignment horizontal="left" vertical="center"/>
      <protection hidden="1"/>
    </xf>
    <xf numFmtId="0" fontId="55" fillId="21" borderId="3" xfId="0" applyFont="1" applyFill="1" applyBorder="1" applyAlignment="1" applyProtection="1">
      <alignment horizontal="centerContinuous" vertical="center"/>
      <protection hidden="1"/>
    </xf>
    <xf numFmtId="0" fontId="55" fillId="21" borderId="4" xfId="0" applyFont="1" applyFill="1" applyBorder="1" applyAlignment="1" applyProtection="1">
      <alignment horizontal="centerContinuous" vertical="center"/>
      <protection hidden="1"/>
    </xf>
    <xf numFmtId="0" fontId="45" fillId="0" borderId="43" xfId="0" applyFont="1" applyBorder="1" applyAlignment="1" applyProtection="1">
      <alignment vertical="center"/>
      <protection hidden="1"/>
    </xf>
    <xf numFmtId="0" fontId="45" fillId="0" borderId="53" xfId="0" applyFont="1" applyBorder="1" applyAlignment="1" applyProtection="1">
      <alignment vertical="center"/>
      <protection hidden="1"/>
    </xf>
    <xf numFmtId="0" fontId="44" fillId="0" borderId="53" xfId="0" quotePrefix="1" applyFont="1" applyBorder="1" applyAlignment="1" applyProtection="1">
      <alignment horizontal="right" vertical="center"/>
      <protection hidden="1"/>
    </xf>
    <xf numFmtId="2" fontId="45" fillId="20" borderId="53" xfId="0" applyNumberFormat="1" applyFont="1" applyFill="1" applyBorder="1" applyAlignment="1" applyProtection="1">
      <alignment horizontal="centerContinuous" vertical="center"/>
      <protection hidden="1"/>
    </xf>
    <xf numFmtId="0" fontId="45" fillId="0" borderId="53" xfId="0" applyFont="1" applyBorder="1" applyAlignment="1" applyProtection="1">
      <alignment horizontal="left" vertical="center"/>
      <protection hidden="1"/>
    </xf>
    <xf numFmtId="0" fontId="45" fillId="0" borderId="14" xfId="0" applyFont="1" applyBorder="1" applyAlignment="1" applyProtection="1">
      <alignment horizontal="right" vertical="center"/>
      <protection hidden="1"/>
    </xf>
    <xf numFmtId="0" fontId="45" fillId="0" borderId="53" xfId="0" applyFont="1" applyBorder="1" applyAlignment="1" applyProtection="1">
      <alignment horizontal="right" vertical="center"/>
      <protection hidden="1"/>
    </xf>
    <xf numFmtId="0" fontId="45" fillId="0" borderId="14" xfId="0" applyFont="1" applyBorder="1" applyAlignment="1" applyProtection="1">
      <alignment vertical="center"/>
      <protection hidden="1"/>
    </xf>
    <xf numFmtId="0" fontId="45" fillId="0" borderId="0" xfId="0" applyFont="1" applyAlignment="1" applyProtection="1">
      <alignment vertical="center"/>
      <protection hidden="1"/>
    </xf>
    <xf numFmtId="0" fontId="45" fillId="0" borderId="79" xfId="0" applyFont="1" applyBorder="1" applyAlignment="1" applyProtection="1">
      <alignment vertical="center"/>
      <protection hidden="1"/>
    </xf>
    <xf numFmtId="0" fontId="44" fillId="0" borderId="0" xfId="0" applyFont="1" applyAlignment="1" applyProtection="1">
      <alignment horizontal="right" vertical="center"/>
      <protection hidden="1"/>
    </xf>
    <xf numFmtId="165" fontId="45" fillId="18" borderId="0" xfId="0" applyNumberFormat="1" applyFont="1" applyFill="1" applyAlignment="1" applyProtection="1">
      <alignment horizontal="centerContinuous" vertical="center"/>
      <protection locked="0"/>
    </xf>
    <xf numFmtId="2" fontId="45" fillId="18" borderId="0" xfId="0" applyNumberFormat="1" applyFont="1" applyFill="1" applyAlignment="1" applyProtection="1">
      <alignment horizontal="centerContinuous" vertical="center"/>
      <protection locked="0"/>
    </xf>
    <xf numFmtId="0" fontId="45" fillId="0" borderId="56" xfId="0" applyFont="1" applyBorder="1" applyAlignment="1" applyProtection="1">
      <alignment vertical="center"/>
      <protection hidden="1"/>
    </xf>
    <xf numFmtId="0" fontId="45" fillId="0" borderId="78" xfId="0" applyFont="1" applyBorder="1" applyAlignment="1" applyProtection="1">
      <alignment vertical="center"/>
      <protection hidden="1"/>
    </xf>
    <xf numFmtId="0" fontId="45" fillId="0" borderId="57" xfId="0" applyFont="1" applyBorder="1" applyAlignment="1" applyProtection="1">
      <alignment vertical="center"/>
      <protection hidden="1"/>
    </xf>
    <xf numFmtId="0" fontId="45" fillId="0" borderId="57" xfId="0" applyFont="1" applyBorder="1" applyAlignment="1" applyProtection="1">
      <alignment horizontal="right" vertical="center"/>
      <protection hidden="1"/>
    </xf>
    <xf numFmtId="2" fontId="45" fillId="20" borderId="57" xfId="0" applyNumberFormat="1" applyFont="1" applyFill="1" applyBorder="1" applyAlignment="1" applyProtection="1">
      <alignment horizontal="centerContinuous" vertical="center"/>
      <protection hidden="1"/>
    </xf>
    <xf numFmtId="0" fontId="45" fillId="0" borderId="67" xfId="0" applyFont="1" applyBorder="1" applyAlignment="1" applyProtection="1">
      <alignment vertical="center"/>
      <protection hidden="1"/>
    </xf>
    <xf numFmtId="0" fontId="45" fillId="0" borderId="0" xfId="0" applyFont="1" applyAlignment="1" applyProtection="1">
      <alignment horizontal="right" vertical="center"/>
      <protection hidden="1"/>
    </xf>
    <xf numFmtId="2" fontId="45" fillId="20" borderId="0" xfId="0" applyNumberFormat="1" applyFont="1" applyFill="1" applyAlignment="1" applyProtection="1">
      <alignment horizontal="centerContinuous" vertical="center"/>
      <protection hidden="1"/>
    </xf>
    <xf numFmtId="2" fontId="55" fillId="21" borderId="3" xfId="0" applyNumberFormat="1" applyFont="1" applyFill="1" applyBorder="1" applyAlignment="1" applyProtection="1">
      <alignment horizontal="centerContinuous" vertical="center"/>
      <protection hidden="1"/>
    </xf>
    <xf numFmtId="0" fontId="45" fillId="0" borderId="0" xfId="0" quotePrefix="1" applyFont="1" applyAlignment="1" applyProtection="1">
      <alignment horizontal="right" vertical="center"/>
      <protection hidden="1"/>
    </xf>
    <xf numFmtId="0" fontId="45" fillId="0" borderId="57" xfId="0" quotePrefix="1" applyFont="1" applyBorder="1" applyAlignment="1" applyProtection="1">
      <alignment horizontal="right" vertical="center"/>
      <protection hidden="1"/>
    </xf>
    <xf numFmtId="2" fontId="45" fillId="0" borderId="57" xfId="0" applyNumberFormat="1" applyFont="1" applyBorder="1" applyAlignment="1" applyProtection="1">
      <alignment vertical="center"/>
      <protection hidden="1"/>
    </xf>
    <xf numFmtId="0" fontId="45" fillId="20" borderId="53" xfId="0" applyFont="1" applyFill="1" applyBorder="1" applyAlignment="1" applyProtection="1">
      <alignment horizontal="centerContinuous" vertical="center"/>
      <protection hidden="1"/>
    </xf>
    <xf numFmtId="0" fontId="55" fillId="21" borderId="2" xfId="0" quotePrefix="1" applyFont="1" applyFill="1" applyBorder="1" applyAlignment="1" applyProtection="1">
      <alignment horizontal="centerContinuous" vertical="center"/>
      <protection hidden="1"/>
    </xf>
    <xf numFmtId="2" fontId="56" fillId="21" borderId="3" xfId="0" applyNumberFormat="1" applyFont="1" applyFill="1" applyBorder="1" applyAlignment="1" applyProtection="1">
      <alignment horizontal="centerContinuous" vertical="center"/>
      <protection hidden="1"/>
    </xf>
    <xf numFmtId="0" fontId="44" fillId="0" borderId="57" xfId="0" applyFont="1" applyBorder="1" applyAlignment="1" applyProtection="1">
      <alignment horizontal="right" vertical="center"/>
      <protection hidden="1"/>
    </xf>
    <xf numFmtId="166" fontId="45" fillId="20" borderId="57" xfId="0" applyNumberFormat="1" applyFont="1" applyFill="1" applyBorder="1" applyAlignment="1" applyProtection="1">
      <alignment horizontal="centerContinuous" vertical="center"/>
      <protection hidden="1"/>
    </xf>
    <xf numFmtId="0" fontId="44" fillId="0" borderId="53" xfId="0" applyFont="1" applyBorder="1" applyAlignment="1" applyProtection="1">
      <alignment horizontal="right" vertical="center"/>
      <protection hidden="1"/>
    </xf>
    <xf numFmtId="166" fontId="45" fillId="20" borderId="53" xfId="0" applyNumberFormat="1" applyFont="1" applyFill="1" applyBorder="1" applyAlignment="1" applyProtection="1">
      <alignment horizontal="centerContinuous" vertical="center"/>
      <protection hidden="1"/>
    </xf>
    <xf numFmtId="0" fontId="45" fillId="0" borderId="58" xfId="0" applyFont="1" applyBorder="1" applyAlignment="1" applyProtection="1">
      <alignment vertical="center"/>
      <protection hidden="1"/>
    </xf>
    <xf numFmtId="2" fontId="45" fillId="20" borderId="59" xfId="0" applyNumberFormat="1" applyFont="1" applyFill="1" applyBorder="1" applyAlignment="1" applyProtection="1">
      <alignment horizontal="centerContinuous" vertical="center"/>
      <protection hidden="1"/>
    </xf>
    <xf numFmtId="0" fontId="45" fillId="20" borderId="59" xfId="0" applyFont="1" applyFill="1" applyBorder="1" applyAlignment="1" applyProtection="1">
      <alignment horizontal="centerContinuous" vertical="center"/>
      <protection hidden="1"/>
    </xf>
    <xf numFmtId="0" fontId="45" fillId="0" borderId="66" xfId="0" applyFont="1" applyBorder="1" applyAlignment="1" applyProtection="1">
      <alignment vertical="center"/>
      <protection hidden="1"/>
    </xf>
    <xf numFmtId="0" fontId="0" fillId="2" borderId="0" xfId="0" applyFill="1" applyAlignment="1">
      <alignment horizontal="right"/>
    </xf>
    <xf numFmtId="0" fontId="0" fillId="2" borderId="20" xfId="0" applyFill="1" applyBorder="1"/>
    <xf numFmtId="0" fontId="0" fillId="2" borderId="21" xfId="0" applyFill="1" applyBorder="1"/>
    <xf numFmtId="0" fontId="0" fillId="2" borderId="19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5" xfId="0" applyFill="1" applyBorder="1"/>
    <xf numFmtId="0" fontId="42" fillId="0" borderId="3" xfId="0" applyFont="1" applyBorder="1" applyAlignment="1" applyProtection="1">
      <alignment horizontal="right" vertical="center"/>
      <protection hidden="1"/>
    </xf>
    <xf numFmtId="2" fontId="42" fillId="18" borderId="48" xfId="0" applyNumberFormat="1" applyFont="1" applyFill="1" applyBorder="1" applyAlignment="1" applyProtection="1">
      <alignment horizontal="left" vertical="center"/>
      <protection locked="0"/>
    </xf>
    <xf numFmtId="0" fontId="0" fillId="2" borderId="0" xfId="0" applyFill="1" applyAlignment="1">
      <alignment horizontal="left"/>
    </xf>
    <xf numFmtId="0" fontId="42" fillId="0" borderId="3" xfId="0" quotePrefix="1" applyFont="1" applyBorder="1" applyAlignment="1" applyProtection="1">
      <alignment horizontal="right" vertical="center"/>
      <protection hidden="1"/>
    </xf>
    <xf numFmtId="0" fontId="0" fillId="2" borderId="1" xfId="0" applyFill="1" applyBorder="1"/>
    <xf numFmtId="2" fontId="42" fillId="18" borderId="53" xfId="0" applyNumberFormat="1" applyFont="1" applyFill="1" applyBorder="1" applyAlignment="1" applyProtection="1">
      <alignment horizontal="centerContinuous" vertical="center"/>
      <protection locked="0"/>
    </xf>
    <xf numFmtId="0" fontId="43" fillId="5" borderId="1" xfId="0" applyFont="1" applyFill="1" applyBorder="1" applyAlignment="1" applyProtection="1">
      <alignment horizontal="right" vertical="center"/>
      <protection hidden="1"/>
    </xf>
    <xf numFmtId="2" fontId="42" fillId="18" borderId="14" xfId="0" applyNumberFormat="1" applyFont="1" applyFill="1" applyBorder="1" applyAlignment="1" applyProtection="1">
      <alignment horizontal="center" vertical="center"/>
      <protection locked="0"/>
    </xf>
    <xf numFmtId="0" fontId="39" fillId="16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19" fillId="5" borderId="35" xfId="0" applyFont="1" applyFill="1" applyBorder="1" applyAlignment="1" applyProtection="1">
      <alignment horizontal="center" vertical="center"/>
      <protection hidden="1"/>
    </xf>
    <xf numFmtId="0" fontId="19" fillId="5" borderId="16" xfId="0" applyFont="1" applyFill="1" applyBorder="1" applyAlignment="1" applyProtection="1">
      <alignment horizontal="center" vertical="center"/>
      <protection hidden="1"/>
    </xf>
    <xf numFmtId="0" fontId="20" fillId="5" borderId="35" xfId="0" applyFont="1" applyFill="1" applyBorder="1" applyAlignment="1">
      <alignment horizontal="center" vertical="center"/>
    </xf>
    <xf numFmtId="0" fontId="20" fillId="5" borderId="16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14" fillId="4" borderId="2" xfId="0" applyFont="1" applyFill="1" applyBorder="1" applyAlignment="1" applyProtection="1">
      <alignment horizontal="center" vertical="center"/>
      <protection hidden="1"/>
    </xf>
    <xf numFmtId="0" fontId="14" fillId="4" borderId="5" xfId="0" applyFont="1" applyFill="1" applyBorder="1" applyAlignment="1" applyProtection="1">
      <alignment horizontal="center" vertical="center"/>
      <protection hidden="1"/>
    </xf>
    <xf numFmtId="0" fontId="14" fillId="4" borderId="21" xfId="0" applyFont="1" applyFill="1" applyBorder="1" applyAlignment="1" applyProtection="1">
      <alignment horizontal="center" vertical="center"/>
      <protection hidden="1"/>
    </xf>
    <xf numFmtId="0" fontId="19" fillId="5" borderId="19" xfId="0" quotePrefix="1" applyFont="1" applyFill="1" applyBorder="1" applyAlignment="1" applyProtection="1">
      <alignment horizontal="center" vertical="center"/>
      <protection hidden="1"/>
    </xf>
    <xf numFmtId="0" fontId="19" fillId="5" borderId="40" xfId="0" quotePrefix="1" applyFont="1" applyFill="1" applyBorder="1" applyAlignment="1" applyProtection="1">
      <alignment horizontal="center" vertical="center"/>
      <protection hidden="1"/>
    </xf>
    <xf numFmtId="0" fontId="24" fillId="4" borderId="2" xfId="0" applyFont="1" applyFill="1" applyBorder="1" applyAlignment="1">
      <alignment horizontal="center" vertical="center"/>
    </xf>
    <xf numFmtId="0" fontId="24" fillId="4" borderId="4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4" xfId="0" applyFont="1" applyFill="1" applyBorder="1" applyAlignment="1">
      <alignment horizontal="center" vertical="center"/>
    </xf>
    <xf numFmtId="0" fontId="14" fillId="4" borderId="3" xfId="0" applyFont="1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 applyProtection="1">
      <alignment horizontal="center" vertical="center"/>
      <protection hidden="1"/>
    </xf>
    <xf numFmtId="0" fontId="20" fillId="5" borderId="29" xfId="0" applyFont="1" applyFill="1" applyBorder="1" applyAlignment="1">
      <alignment horizontal="center" vertical="center"/>
    </xf>
    <xf numFmtId="0" fontId="19" fillId="5" borderId="41" xfId="0" applyFont="1" applyFill="1" applyBorder="1" applyAlignment="1" applyProtection="1">
      <alignment horizontal="center" vertical="center"/>
      <protection hidden="1"/>
    </xf>
    <xf numFmtId="0" fontId="19" fillId="5" borderId="40" xfId="0" applyFont="1" applyFill="1" applyBorder="1" applyAlignment="1" applyProtection="1">
      <alignment horizontal="center" vertical="center"/>
      <protection hidden="1"/>
    </xf>
    <xf numFmtId="0" fontId="3" fillId="7" borderId="29" xfId="0" applyFont="1" applyFill="1" applyBorder="1" applyAlignment="1">
      <alignment horizontal="center" vertical="center"/>
    </xf>
    <xf numFmtId="0" fontId="3" fillId="7" borderId="30" xfId="0" applyFont="1" applyFill="1" applyBorder="1" applyAlignment="1">
      <alignment horizontal="center" vertical="center"/>
    </xf>
    <xf numFmtId="0" fontId="24" fillId="4" borderId="29" xfId="0" applyFont="1" applyFill="1" applyBorder="1" applyAlignment="1">
      <alignment horizontal="center" vertical="center"/>
    </xf>
    <xf numFmtId="0" fontId="24" fillId="4" borderId="30" xfId="0" applyFont="1" applyFill="1" applyBorder="1" applyAlignment="1">
      <alignment horizontal="center" vertical="center"/>
    </xf>
    <xf numFmtId="0" fontId="20" fillId="5" borderId="41" xfId="0" applyFont="1" applyFill="1" applyBorder="1" applyAlignment="1">
      <alignment horizontal="center" vertical="center"/>
    </xf>
    <xf numFmtId="0" fontId="20" fillId="5" borderId="19" xfId="0" applyFont="1" applyFill="1" applyBorder="1" applyAlignment="1">
      <alignment horizontal="center" vertical="center"/>
    </xf>
    <xf numFmtId="0" fontId="20" fillId="5" borderId="4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5" fillId="5" borderId="25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23" fillId="8" borderId="41" xfId="0" applyFont="1" applyFill="1" applyBorder="1" applyAlignment="1" applyProtection="1">
      <alignment horizontal="center" vertical="center"/>
      <protection hidden="1"/>
    </xf>
    <xf numFmtId="0" fontId="23" fillId="8" borderId="40" xfId="0" applyFont="1" applyFill="1" applyBorder="1" applyAlignment="1" applyProtection="1">
      <alignment horizontal="center" vertical="center"/>
      <protection hidden="1"/>
    </xf>
    <xf numFmtId="0" fontId="28" fillId="5" borderId="2" xfId="0" quotePrefix="1" applyFont="1" applyFill="1" applyBorder="1" applyAlignment="1" applyProtection="1">
      <alignment horizontal="center" vertical="center"/>
      <protection hidden="1"/>
    </xf>
    <xf numFmtId="0" fontId="28" fillId="5" borderId="4" xfId="0" quotePrefix="1" applyFont="1" applyFill="1" applyBorder="1" applyAlignment="1" applyProtection="1">
      <alignment horizontal="center" vertical="center"/>
      <protection hidden="1"/>
    </xf>
    <xf numFmtId="0" fontId="21" fillId="8" borderId="41" xfId="0" applyFont="1" applyFill="1" applyBorder="1" applyAlignment="1">
      <alignment horizontal="center"/>
    </xf>
    <xf numFmtId="0" fontId="21" fillId="8" borderId="40" xfId="0" applyFont="1" applyFill="1" applyBorder="1" applyAlignment="1">
      <alignment horizontal="center"/>
    </xf>
    <xf numFmtId="0" fontId="19" fillId="5" borderId="19" xfId="0" applyFont="1" applyFill="1" applyBorder="1" applyAlignment="1" applyProtection="1">
      <alignment horizontal="center" vertical="center"/>
      <protection hidden="1"/>
    </xf>
    <xf numFmtId="0" fontId="19" fillId="5" borderId="23" xfId="0" applyFont="1" applyFill="1" applyBorder="1" applyAlignment="1" applyProtection="1">
      <alignment horizontal="center" vertical="center"/>
      <protection hidden="1"/>
    </xf>
    <xf numFmtId="0" fontId="26" fillId="7" borderId="6" xfId="0" applyFont="1" applyFill="1" applyBorder="1" applyAlignment="1">
      <alignment horizontal="center" vertical="center"/>
    </xf>
    <xf numFmtId="0" fontId="26" fillId="7" borderId="10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20" fillId="5" borderId="39" xfId="0" applyFont="1" applyFill="1" applyBorder="1" applyAlignment="1">
      <alignment horizontal="center" vertical="center"/>
    </xf>
    <xf numFmtId="0" fontId="20" fillId="5" borderId="30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3" fillId="7" borderId="36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21" fillId="8" borderId="26" xfId="0" applyFont="1" applyFill="1" applyBorder="1" applyAlignment="1">
      <alignment horizontal="center" vertical="center"/>
    </xf>
    <xf numFmtId="0" fontId="21" fillId="8" borderId="14" xfId="0" applyFont="1" applyFill="1" applyBorder="1" applyAlignment="1">
      <alignment horizontal="center" vertical="center"/>
    </xf>
    <xf numFmtId="0" fontId="3" fillId="7" borderId="3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21" fillId="8" borderId="53" xfId="0" applyFont="1" applyFill="1" applyBorder="1" applyAlignment="1">
      <alignment horizontal="center" vertical="center"/>
    </xf>
    <xf numFmtId="0" fontId="22" fillId="8" borderId="53" xfId="0" applyFont="1" applyFill="1" applyBorder="1" applyAlignment="1" applyProtection="1">
      <alignment horizontal="center" vertical="center"/>
      <protection hidden="1"/>
    </xf>
    <xf numFmtId="0" fontId="22" fillId="8" borderId="55" xfId="0" applyFont="1" applyFill="1" applyBorder="1" applyAlignment="1" applyProtection="1">
      <alignment horizontal="center" vertical="center"/>
      <protection hidden="1"/>
    </xf>
    <xf numFmtId="0" fontId="22" fillId="8" borderId="44" xfId="0" applyFont="1" applyFill="1" applyBorder="1" applyAlignment="1" applyProtection="1">
      <alignment horizontal="center" vertical="center"/>
      <protection hidden="1"/>
    </xf>
    <xf numFmtId="0" fontId="4" fillId="10" borderId="53" xfId="0" applyFont="1" applyFill="1" applyBorder="1" applyAlignment="1">
      <alignment horizontal="center"/>
    </xf>
    <xf numFmtId="0" fontId="22" fillId="8" borderId="26" xfId="0" applyFont="1" applyFill="1" applyBorder="1" applyAlignment="1" applyProtection="1">
      <alignment horizontal="center" vertical="center"/>
      <protection hidden="1"/>
    </xf>
    <xf numFmtId="0" fontId="3" fillId="12" borderId="52" xfId="0" applyFont="1" applyFill="1" applyBorder="1" applyAlignment="1">
      <alignment horizontal="center" vertical="center"/>
    </xf>
    <xf numFmtId="0" fontId="3" fillId="12" borderId="18" xfId="0" applyFont="1" applyFill="1" applyBorder="1" applyAlignment="1">
      <alignment horizontal="center" vertical="center"/>
    </xf>
    <xf numFmtId="0" fontId="15" fillId="14" borderId="38" xfId="0" applyFont="1" applyFill="1" applyBorder="1" applyAlignment="1" applyProtection="1">
      <alignment horizontal="center" vertical="center"/>
      <protection hidden="1"/>
    </xf>
    <xf numFmtId="0" fontId="15" fillId="14" borderId="12" xfId="0" applyFont="1" applyFill="1" applyBorder="1" applyAlignment="1" applyProtection="1">
      <alignment horizontal="center" vertical="center"/>
      <protection hidden="1"/>
    </xf>
    <xf numFmtId="0" fontId="0" fillId="11" borderId="29" xfId="0" applyFill="1" applyBorder="1" applyAlignment="1">
      <alignment horizontal="center"/>
    </xf>
    <xf numFmtId="0" fontId="0" fillId="11" borderId="39" xfId="0" applyFill="1" applyBorder="1" applyAlignment="1">
      <alignment horizontal="center"/>
    </xf>
    <xf numFmtId="0" fontId="0" fillId="11" borderId="30" xfId="0" applyFill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0" borderId="47" xfId="0" applyFont="1" applyBorder="1" applyAlignment="1">
      <alignment horizontal="center"/>
    </xf>
    <xf numFmtId="0" fontId="3" fillId="0" borderId="48" xfId="0" applyFont="1" applyBorder="1" applyAlignment="1">
      <alignment horizontal="center"/>
    </xf>
    <xf numFmtId="0" fontId="19" fillId="5" borderId="29" xfId="0" applyFont="1" applyFill="1" applyBorder="1" applyAlignment="1" applyProtection="1">
      <alignment horizontal="center" vertical="center"/>
      <protection hidden="1"/>
    </xf>
    <xf numFmtId="0" fontId="19" fillId="5" borderId="39" xfId="0" applyFont="1" applyFill="1" applyBorder="1" applyAlignment="1" applyProtection="1">
      <alignment horizontal="center" vertical="center"/>
      <protection hidden="1"/>
    </xf>
    <xf numFmtId="0" fontId="19" fillId="5" borderId="30" xfId="0" applyFont="1" applyFill="1" applyBorder="1" applyAlignment="1" applyProtection="1">
      <alignment horizontal="center" vertical="center"/>
      <protection hidden="1"/>
    </xf>
    <xf numFmtId="0" fontId="37" fillId="0" borderId="52" xfId="0" applyFont="1" applyBorder="1" applyAlignment="1">
      <alignment horizontal="center" vertical="center"/>
    </xf>
    <xf numFmtId="0" fontId="37" fillId="0" borderId="17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5" fillId="11" borderId="29" xfId="0" applyFont="1" applyFill="1" applyBorder="1" applyAlignment="1">
      <alignment horizontal="center"/>
    </xf>
    <xf numFmtId="0" fontId="35" fillId="11" borderId="39" xfId="0" applyFont="1" applyFill="1" applyBorder="1" applyAlignment="1">
      <alignment horizontal="center"/>
    </xf>
    <xf numFmtId="0" fontId="35" fillId="11" borderId="30" xfId="0" applyFont="1" applyFill="1" applyBorder="1" applyAlignment="1">
      <alignment horizontal="center"/>
    </xf>
    <xf numFmtId="0" fontId="7" fillId="3" borderId="2" xfId="1" applyFont="1" applyFill="1" applyBorder="1" applyAlignment="1">
      <alignment horizontal="center"/>
    </xf>
    <xf numFmtId="0" fontId="7" fillId="3" borderId="3" xfId="1" applyFont="1" applyFill="1" applyBorder="1" applyAlignment="1">
      <alignment horizontal="center"/>
    </xf>
    <xf numFmtId="0" fontId="7" fillId="3" borderId="4" xfId="1" applyFont="1" applyFill="1" applyBorder="1" applyAlignment="1">
      <alignment horizontal="center"/>
    </xf>
    <xf numFmtId="0" fontId="22" fillId="8" borderId="50" xfId="0" applyFont="1" applyFill="1" applyBorder="1" applyAlignment="1" applyProtection="1">
      <alignment horizontal="center" vertical="center"/>
      <protection hidden="1"/>
    </xf>
    <xf numFmtId="0" fontId="22" fillId="8" borderId="42" xfId="0" applyFont="1" applyFill="1" applyBorder="1" applyAlignment="1" applyProtection="1">
      <alignment horizontal="center" vertical="center"/>
      <protection hidden="1"/>
    </xf>
    <xf numFmtId="0" fontId="26" fillId="7" borderId="54" xfId="0" applyFont="1" applyFill="1" applyBorder="1" applyAlignment="1">
      <alignment horizontal="center" vertical="center"/>
    </xf>
    <xf numFmtId="0" fontId="26" fillId="7" borderId="13" xfId="0" applyFont="1" applyFill="1" applyBorder="1" applyAlignment="1">
      <alignment horizontal="center" vertical="center"/>
    </xf>
    <xf numFmtId="0" fontId="3" fillId="13" borderId="54" xfId="0" applyFont="1" applyFill="1" applyBorder="1" applyAlignment="1">
      <alignment horizontal="center" vertical="center"/>
    </xf>
    <xf numFmtId="0" fontId="3" fillId="13" borderId="13" xfId="0" applyFont="1" applyFill="1" applyBorder="1" applyAlignment="1">
      <alignment horizontal="center" vertical="center"/>
    </xf>
    <xf numFmtId="2" fontId="3" fillId="13" borderId="74" xfId="0" applyNumberFormat="1" applyFont="1" applyFill="1" applyBorder="1" applyAlignment="1">
      <alignment horizontal="center" vertical="center"/>
    </xf>
    <xf numFmtId="2" fontId="3" fillId="13" borderId="51" xfId="0" applyNumberFormat="1" applyFont="1" applyFill="1" applyBorder="1" applyAlignment="1">
      <alignment horizontal="center" vertical="center"/>
    </xf>
    <xf numFmtId="0" fontId="42" fillId="0" borderId="43" xfId="0" applyFont="1" applyBorder="1" applyAlignment="1" applyProtection="1">
      <alignment horizontal="center" vertical="center"/>
      <protection hidden="1"/>
    </xf>
    <xf numFmtId="0" fontId="42" fillId="0" borderId="53" xfId="0" applyFont="1" applyBorder="1" applyAlignment="1" applyProtection="1">
      <alignment horizontal="center" vertical="center"/>
      <protection hidden="1"/>
    </xf>
    <xf numFmtId="0" fontId="42" fillId="0" borderId="14" xfId="0" applyFont="1" applyBorder="1" applyAlignment="1" applyProtection="1">
      <alignment horizontal="center" vertical="center"/>
      <protection hidden="1"/>
    </xf>
    <xf numFmtId="0" fontId="42" fillId="0" borderId="58" xfId="0" applyFont="1" applyBorder="1" applyAlignment="1" applyProtection="1">
      <alignment horizontal="center" vertical="center"/>
      <protection hidden="1"/>
    </xf>
    <xf numFmtId="0" fontId="42" fillId="0" borderId="59" xfId="0" applyFont="1" applyBorder="1" applyAlignment="1" applyProtection="1">
      <alignment horizontal="center" vertical="center"/>
      <protection hidden="1"/>
    </xf>
    <xf numFmtId="0" fontId="42" fillId="0" borderId="66" xfId="0" applyFont="1" applyBorder="1" applyAlignment="1" applyProtection="1">
      <alignment horizontal="center" vertical="center"/>
      <protection hidden="1"/>
    </xf>
    <xf numFmtId="0" fontId="46" fillId="5" borderId="2" xfId="0" quotePrefix="1" applyFont="1" applyFill="1" applyBorder="1" applyAlignment="1" applyProtection="1">
      <alignment horizontal="center" vertical="center"/>
      <protection hidden="1"/>
    </xf>
    <xf numFmtId="0" fontId="46" fillId="5" borderId="3" xfId="0" quotePrefix="1" applyFont="1" applyFill="1" applyBorder="1" applyAlignment="1" applyProtection="1">
      <alignment horizontal="center" vertical="center"/>
      <protection hidden="1"/>
    </xf>
    <xf numFmtId="0" fontId="46" fillId="5" borderId="4" xfId="0" quotePrefix="1" applyFont="1" applyFill="1" applyBorder="1" applyAlignment="1" applyProtection="1">
      <alignment horizontal="center" vertical="center"/>
      <protection hidden="1"/>
    </xf>
    <xf numFmtId="0" fontId="42" fillId="0" borderId="43" xfId="0" quotePrefix="1" applyFont="1" applyBorder="1" applyAlignment="1" applyProtection="1">
      <alignment horizontal="center" vertical="center"/>
      <protection hidden="1"/>
    </xf>
    <xf numFmtId="0" fontId="42" fillId="0" borderId="53" xfId="0" quotePrefix="1" applyFont="1" applyBorder="1" applyAlignment="1" applyProtection="1">
      <alignment horizontal="center" vertical="center"/>
      <protection hidden="1"/>
    </xf>
    <xf numFmtId="0" fontId="42" fillId="0" borderId="14" xfId="0" quotePrefix="1" applyFont="1" applyBorder="1" applyAlignment="1" applyProtection="1">
      <alignment horizontal="center" vertical="center"/>
      <protection hidden="1"/>
    </xf>
    <xf numFmtId="0" fontId="0" fillId="2" borderId="2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63" xfId="0" applyFill="1" applyBorder="1" applyAlignment="1">
      <alignment horizontal="center"/>
    </xf>
    <xf numFmtId="0" fontId="0" fillId="2" borderId="64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0" fillId="2" borderId="60" xfId="0" applyFill="1" applyBorder="1" applyAlignment="1">
      <alignment horizontal="center"/>
    </xf>
    <xf numFmtId="0" fontId="0" fillId="2" borderId="61" xfId="0" applyFill="1" applyBorder="1" applyAlignment="1">
      <alignment horizontal="center"/>
    </xf>
    <xf numFmtId="0" fontId="0" fillId="2" borderId="6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46" fillId="5" borderId="33" xfId="0" quotePrefix="1" applyFont="1" applyFill="1" applyBorder="1" applyAlignment="1" applyProtection="1">
      <alignment horizontal="center" vertical="center"/>
      <protection hidden="1"/>
    </xf>
    <xf numFmtId="0" fontId="46" fillId="5" borderId="68" xfId="0" quotePrefix="1" applyFont="1" applyFill="1" applyBorder="1" applyAlignment="1" applyProtection="1">
      <alignment horizontal="center" vertical="center"/>
      <protection hidden="1"/>
    </xf>
    <xf numFmtId="0" fontId="46" fillId="5" borderId="34" xfId="0" quotePrefix="1" applyFont="1" applyFill="1" applyBorder="1" applyAlignment="1" applyProtection="1">
      <alignment horizontal="center" vertical="center"/>
      <protection hidden="1"/>
    </xf>
    <xf numFmtId="0" fontId="51" fillId="8" borderId="33" xfId="0" applyFont="1" applyFill="1" applyBorder="1" applyAlignment="1" applyProtection="1">
      <alignment horizontal="center" vertical="center"/>
      <protection hidden="1"/>
    </xf>
    <xf numFmtId="0" fontId="51" fillId="8" borderId="68" xfId="0" applyFont="1" applyFill="1" applyBorder="1" applyAlignment="1" applyProtection="1">
      <alignment horizontal="center" vertical="center"/>
      <protection hidden="1"/>
    </xf>
    <xf numFmtId="0" fontId="51" fillId="8" borderId="34" xfId="0" applyFont="1" applyFill="1" applyBorder="1" applyAlignment="1" applyProtection="1">
      <alignment horizontal="center" vertical="center"/>
      <protection hidden="1"/>
    </xf>
    <xf numFmtId="0" fontId="15" fillId="14" borderId="69" xfId="0" applyFont="1" applyFill="1" applyBorder="1" applyAlignment="1" applyProtection="1">
      <alignment horizontal="center" vertical="center"/>
      <protection hidden="1"/>
    </xf>
    <xf numFmtId="0" fontId="15" fillId="14" borderId="72" xfId="0" applyFont="1" applyFill="1" applyBorder="1" applyAlignment="1" applyProtection="1">
      <alignment horizontal="center" vertical="center"/>
      <protection hidden="1"/>
    </xf>
    <xf numFmtId="0" fontId="53" fillId="7" borderId="69" xfId="0" quotePrefix="1" applyFont="1" applyFill="1" applyBorder="1" applyAlignment="1" applyProtection="1">
      <alignment horizontal="center" vertical="center"/>
      <protection hidden="1"/>
    </xf>
    <xf numFmtId="0" fontId="53" fillId="7" borderId="68" xfId="0" quotePrefix="1" applyFont="1" applyFill="1" applyBorder="1" applyAlignment="1" applyProtection="1">
      <alignment horizontal="center" vertical="center"/>
      <protection hidden="1"/>
    </xf>
    <xf numFmtId="0" fontId="53" fillId="7" borderId="34" xfId="0" quotePrefix="1" applyFont="1" applyFill="1" applyBorder="1" applyAlignment="1" applyProtection="1">
      <alignment horizontal="center" vertical="center"/>
      <protection hidden="1"/>
    </xf>
    <xf numFmtId="0" fontId="25" fillId="5" borderId="6" xfId="0" applyFont="1" applyFill="1" applyBorder="1" applyAlignment="1">
      <alignment horizontal="center" vertical="center"/>
    </xf>
    <xf numFmtId="0" fontId="25" fillId="5" borderId="76" xfId="0" applyFont="1" applyFill="1" applyBorder="1" applyAlignment="1">
      <alignment horizontal="center" vertical="center"/>
    </xf>
    <xf numFmtId="0" fontId="25" fillId="5" borderId="28" xfId="0" applyFont="1" applyFill="1" applyBorder="1" applyAlignment="1">
      <alignment horizontal="center" vertical="center"/>
    </xf>
    <xf numFmtId="0" fontId="42" fillId="20" borderId="57" xfId="0" applyFont="1" applyFill="1" applyBorder="1" applyAlignment="1" applyProtection="1">
      <alignment horizontal="center" vertical="center"/>
      <protection hidden="1"/>
    </xf>
    <xf numFmtId="0" fontId="42" fillId="20" borderId="67" xfId="0" applyFont="1" applyFill="1" applyBorder="1" applyAlignment="1" applyProtection="1">
      <alignment horizontal="center" vertical="center"/>
      <protection hidden="1"/>
    </xf>
    <xf numFmtId="0" fontId="42" fillId="20" borderId="0" xfId="0" applyFont="1" applyFill="1" applyBorder="1" applyAlignment="1" applyProtection="1">
      <alignment horizontal="center" vertical="center"/>
      <protection hidden="1"/>
    </xf>
    <xf numFmtId="0" fontId="42" fillId="20" borderId="56" xfId="0" applyFont="1" applyFill="1" applyBorder="1" applyAlignment="1" applyProtection="1">
      <alignment horizontal="center" vertical="center"/>
      <protection hidden="1"/>
    </xf>
    <xf numFmtId="0" fontId="42" fillId="20" borderId="59" xfId="0" applyFont="1" applyFill="1" applyBorder="1" applyAlignment="1" applyProtection="1">
      <alignment horizontal="center" vertical="center"/>
      <protection hidden="1"/>
    </xf>
    <xf numFmtId="0" fontId="42" fillId="20" borderId="66" xfId="0" applyFont="1" applyFill="1" applyBorder="1" applyAlignment="1" applyProtection="1">
      <alignment horizontal="center" vertical="center"/>
      <protection hidden="1"/>
    </xf>
    <xf numFmtId="0" fontId="51" fillId="8" borderId="20" xfId="0" applyFont="1" applyFill="1" applyBorder="1" applyAlignment="1" applyProtection="1">
      <alignment horizontal="center" vertical="center"/>
      <protection hidden="1"/>
    </xf>
    <xf numFmtId="0" fontId="51" fillId="8" borderId="5" xfId="0" applyFont="1" applyFill="1" applyBorder="1" applyAlignment="1" applyProtection="1">
      <alignment horizontal="center" vertical="center"/>
      <protection hidden="1"/>
    </xf>
    <xf numFmtId="0" fontId="51" fillId="8" borderId="21" xfId="0" applyFont="1" applyFill="1" applyBorder="1" applyAlignment="1" applyProtection="1">
      <alignment horizontal="center" vertical="center"/>
      <protection hidden="1"/>
    </xf>
    <xf numFmtId="0" fontId="51" fillId="8" borderId="19" xfId="0" applyFont="1" applyFill="1" applyBorder="1" applyAlignment="1" applyProtection="1">
      <alignment horizontal="center" vertical="center"/>
      <protection hidden="1"/>
    </xf>
    <xf numFmtId="0" fontId="51" fillId="8" borderId="0" xfId="0" applyFont="1" applyFill="1" applyBorder="1" applyAlignment="1" applyProtection="1">
      <alignment horizontal="center" vertical="center"/>
      <protection hidden="1"/>
    </xf>
    <xf numFmtId="0" fontId="51" fillId="8" borderId="22" xfId="0" applyFont="1" applyFill="1" applyBorder="1" applyAlignment="1" applyProtection="1">
      <alignment horizontal="center" vertical="center"/>
      <protection hidden="1"/>
    </xf>
    <xf numFmtId="0" fontId="51" fillId="8" borderId="23" xfId="0" applyFont="1" applyFill="1" applyBorder="1" applyAlignment="1" applyProtection="1">
      <alignment horizontal="center" vertical="center"/>
      <protection hidden="1"/>
    </xf>
    <xf numFmtId="0" fontId="51" fillId="8" borderId="24" xfId="0" applyFont="1" applyFill="1" applyBorder="1" applyAlignment="1" applyProtection="1">
      <alignment horizontal="center" vertical="center"/>
      <protection hidden="1"/>
    </xf>
    <xf numFmtId="0" fontId="51" fillId="8" borderId="25" xfId="0" applyFont="1" applyFill="1" applyBorder="1" applyAlignment="1" applyProtection="1">
      <alignment horizontal="center" vertical="center"/>
      <protection hidden="1"/>
    </xf>
    <xf numFmtId="0" fontId="15" fillId="14" borderId="74" xfId="0" applyFont="1" applyFill="1" applyBorder="1" applyAlignment="1" applyProtection="1">
      <alignment horizontal="center" vertical="center"/>
      <protection hidden="1"/>
    </xf>
    <xf numFmtId="0" fontId="15" fillId="14" borderId="4" xfId="0" applyFont="1" applyFill="1" applyBorder="1" applyAlignment="1" applyProtection="1">
      <alignment horizontal="center" vertical="center"/>
      <protection hidden="1"/>
    </xf>
    <xf numFmtId="0" fontId="48" fillId="7" borderId="57" xfId="0" applyFont="1" applyFill="1" applyBorder="1" applyAlignment="1">
      <alignment horizontal="center" vertical="center"/>
    </xf>
    <xf numFmtId="0" fontId="48" fillId="7" borderId="67" xfId="0" applyFont="1" applyFill="1" applyBorder="1" applyAlignment="1">
      <alignment horizontal="center" vertical="center"/>
    </xf>
    <xf numFmtId="0" fontId="48" fillId="7" borderId="0" xfId="0" applyFont="1" applyFill="1" applyBorder="1" applyAlignment="1">
      <alignment horizontal="center" vertical="center"/>
    </xf>
    <xf numFmtId="0" fontId="48" fillId="7" borderId="56" xfId="0" applyFont="1" applyFill="1" applyBorder="1" applyAlignment="1">
      <alignment horizontal="center" vertical="center"/>
    </xf>
    <xf numFmtId="0" fontId="48" fillId="7" borderId="59" xfId="0" applyFont="1" applyFill="1" applyBorder="1" applyAlignment="1">
      <alignment horizontal="center" vertical="center"/>
    </xf>
    <xf numFmtId="0" fontId="48" fillId="7" borderId="66" xfId="0" applyFont="1" applyFill="1" applyBorder="1" applyAlignment="1">
      <alignment horizontal="center" vertical="center"/>
    </xf>
    <xf numFmtId="0" fontId="52" fillId="7" borderId="68" xfId="0" quotePrefix="1" applyFont="1" applyFill="1" applyBorder="1" applyAlignment="1" applyProtection="1">
      <alignment horizontal="center" vertical="center"/>
      <protection hidden="1"/>
    </xf>
    <xf numFmtId="0" fontId="52" fillId="7" borderId="34" xfId="0" quotePrefix="1" applyFont="1" applyFill="1" applyBorder="1" applyAlignment="1" applyProtection="1">
      <alignment horizontal="center" vertical="center"/>
      <protection hidden="1"/>
    </xf>
    <xf numFmtId="2" fontId="45" fillId="20" borderId="53" xfId="0" applyNumberFormat="1" applyFont="1" applyFill="1" applyBorder="1" applyAlignment="1" applyProtection="1">
      <alignment horizontal="center" vertical="center"/>
      <protection hidden="1"/>
    </xf>
    <xf numFmtId="2" fontId="45" fillId="20" borderId="14" xfId="0" applyNumberFormat="1" applyFont="1" applyFill="1" applyBorder="1" applyAlignment="1" applyProtection="1">
      <alignment horizontal="center" vertical="center"/>
      <protection hidden="1"/>
    </xf>
    <xf numFmtId="2" fontId="15" fillId="20" borderId="68" xfId="0" applyNumberFormat="1" applyFont="1" applyFill="1" applyBorder="1" applyAlignment="1" applyProtection="1">
      <alignment horizontal="center" vertical="center"/>
      <protection hidden="1"/>
    </xf>
    <xf numFmtId="2" fontId="15" fillId="20" borderId="70" xfId="0" applyNumberFormat="1" applyFont="1" applyFill="1" applyBorder="1" applyAlignment="1" applyProtection="1">
      <alignment horizontal="center" vertical="center"/>
      <protection hidden="1"/>
    </xf>
    <xf numFmtId="2" fontId="15" fillId="20" borderId="71" xfId="0" applyNumberFormat="1" applyFont="1" applyFill="1" applyBorder="1" applyAlignment="1" applyProtection="1">
      <alignment horizontal="center" vertical="center"/>
      <protection hidden="1"/>
    </xf>
    <xf numFmtId="2" fontId="15" fillId="20" borderId="73" xfId="0" applyNumberFormat="1" applyFont="1" applyFill="1" applyBorder="1" applyAlignment="1" applyProtection="1">
      <alignment horizontal="center" vertical="center"/>
      <protection hidden="1"/>
    </xf>
    <xf numFmtId="2" fontId="15" fillId="20" borderId="75" xfId="0" applyNumberFormat="1" applyFont="1" applyFill="1" applyBorder="1" applyAlignment="1" applyProtection="1">
      <alignment horizontal="center" vertical="center"/>
      <protection hidden="1"/>
    </xf>
    <xf numFmtId="0" fontId="15" fillId="14" borderId="70" xfId="0" applyFont="1" applyFill="1" applyBorder="1" applyAlignment="1" applyProtection="1">
      <alignment horizontal="center" vertical="center"/>
      <protection hidden="1"/>
    </xf>
    <xf numFmtId="0" fontId="15" fillId="14" borderId="21" xfId="0" applyFont="1" applyFill="1" applyBorder="1" applyAlignment="1" applyProtection="1">
      <alignment horizontal="center" vertical="center"/>
      <protection hidden="1"/>
    </xf>
    <xf numFmtId="0" fontId="15" fillId="14" borderId="73" xfId="0" applyFont="1" applyFill="1" applyBorder="1" applyAlignment="1" applyProtection="1">
      <alignment horizontal="center" vertical="center"/>
      <protection hidden="1"/>
    </xf>
    <xf numFmtId="0" fontId="15" fillId="14" borderId="25" xfId="0" applyFont="1" applyFill="1" applyBorder="1" applyAlignment="1" applyProtection="1">
      <alignment horizontal="center" vertical="center"/>
      <protection hidden="1"/>
    </xf>
    <xf numFmtId="0" fontId="46" fillId="5" borderId="20" xfId="0" quotePrefix="1" applyFont="1" applyFill="1" applyBorder="1" applyAlignment="1" applyProtection="1">
      <alignment horizontal="center" vertical="center"/>
      <protection hidden="1"/>
    </xf>
    <xf numFmtId="0" fontId="46" fillId="5" borderId="5" xfId="0" quotePrefix="1" applyFont="1" applyFill="1" applyBorder="1" applyAlignment="1" applyProtection="1">
      <alignment horizontal="center" vertical="center"/>
      <protection hidden="1"/>
    </xf>
    <xf numFmtId="0" fontId="46" fillId="5" borderId="71" xfId="0" quotePrefix="1" applyFont="1" applyFill="1" applyBorder="1" applyAlignment="1" applyProtection="1">
      <alignment horizontal="center" vertical="center"/>
      <protection hidden="1"/>
    </xf>
    <xf numFmtId="0" fontId="46" fillId="5" borderId="23" xfId="0" quotePrefix="1" applyFont="1" applyFill="1" applyBorder="1" applyAlignment="1" applyProtection="1">
      <alignment horizontal="center" vertical="center"/>
      <protection hidden="1"/>
    </xf>
    <xf numFmtId="0" fontId="46" fillId="5" borderId="24" xfId="0" quotePrefix="1" applyFont="1" applyFill="1" applyBorder="1" applyAlignment="1" applyProtection="1">
      <alignment horizontal="center" vertical="center"/>
      <protection hidden="1"/>
    </xf>
    <xf numFmtId="0" fontId="46" fillId="5" borderId="75" xfId="0" quotePrefix="1" applyFont="1" applyFill="1" applyBorder="1" applyAlignment="1" applyProtection="1">
      <alignment horizontal="center" vertical="center"/>
      <protection hidden="1"/>
    </xf>
    <xf numFmtId="0" fontId="52" fillId="7" borderId="70" xfId="0" quotePrefix="1" applyFont="1" applyFill="1" applyBorder="1" applyAlignment="1" applyProtection="1">
      <alignment horizontal="center" vertical="center"/>
      <protection hidden="1"/>
    </xf>
    <xf numFmtId="0" fontId="52" fillId="7" borderId="5" xfId="0" quotePrefix="1" applyFont="1" applyFill="1" applyBorder="1" applyAlignment="1" applyProtection="1">
      <alignment horizontal="center" vertical="center"/>
      <protection hidden="1"/>
    </xf>
    <xf numFmtId="0" fontId="52" fillId="7" borderId="71" xfId="0" quotePrefix="1" applyFont="1" applyFill="1" applyBorder="1" applyAlignment="1" applyProtection="1">
      <alignment horizontal="center" vertical="center"/>
      <protection hidden="1"/>
    </xf>
    <xf numFmtId="0" fontId="52" fillId="7" borderId="73" xfId="0" quotePrefix="1" applyFont="1" applyFill="1" applyBorder="1" applyAlignment="1" applyProtection="1">
      <alignment horizontal="center" vertical="center"/>
      <protection hidden="1"/>
    </xf>
    <xf numFmtId="0" fontId="52" fillId="7" borderId="24" xfId="0" quotePrefix="1" applyFont="1" applyFill="1" applyBorder="1" applyAlignment="1" applyProtection="1">
      <alignment horizontal="center" vertical="center"/>
      <protection hidden="1"/>
    </xf>
    <xf numFmtId="0" fontId="52" fillId="7" borderId="75" xfId="0" quotePrefix="1" applyFont="1" applyFill="1" applyBorder="1" applyAlignment="1" applyProtection="1">
      <alignment horizontal="center" vertical="center"/>
      <protection hidden="1"/>
    </xf>
    <xf numFmtId="0" fontId="51" fillId="8" borderId="2" xfId="0" applyFont="1" applyFill="1" applyBorder="1" applyAlignment="1" applyProtection="1">
      <alignment horizontal="center" vertical="center"/>
      <protection hidden="1"/>
    </xf>
    <xf numFmtId="0" fontId="51" fillId="8" borderId="3" xfId="0" applyFont="1" applyFill="1" applyBorder="1" applyAlignment="1" applyProtection="1">
      <alignment horizontal="center" vertical="center"/>
      <protection hidden="1"/>
    </xf>
    <xf numFmtId="0" fontId="51" fillId="8" borderId="4" xfId="0" applyFont="1" applyFill="1" applyBorder="1" applyAlignment="1" applyProtection="1">
      <alignment horizontal="center" vertical="center"/>
      <protection hidden="1"/>
    </xf>
    <xf numFmtId="0" fontId="46" fillId="5" borderId="21" xfId="0" quotePrefix="1" applyFont="1" applyFill="1" applyBorder="1" applyAlignment="1" applyProtection="1">
      <alignment horizontal="center" vertical="center"/>
      <protection hidden="1"/>
    </xf>
    <xf numFmtId="0" fontId="46" fillId="5" borderId="19" xfId="0" quotePrefix="1" applyFont="1" applyFill="1" applyBorder="1" applyAlignment="1" applyProtection="1">
      <alignment horizontal="center" vertical="center"/>
      <protection hidden="1"/>
    </xf>
    <xf numFmtId="0" fontId="46" fillId="5" borderId="0" xfId="0" quotePrefix="1" applyFont="1" applyFill="1" applyBorder="1" applyAlignment="1" applyProtection="1">
      <alignment horizontal="center" vertical="center"/>
      <protection hidden="1"/>
    </xf>
    <xf numFmtId="0" fontId="46" fillId="5" borderId="22" xfId="0" quotePrefix="1" applyFont="1" applyFill="1" applyBorder="1" applyAlignment="1" applyProtection="1">
      <alignment horizontal="center" vertical="center"/>
      <protection hidden="1"/>
    </xf>
    <xf numFmtId="0" fontId="46" fillId="5" borderId="25" xfId="0" quotePrefix="1" applyFont="1" applyFill="1" applyBorder="1" applyAlignment="1" applyProtection="1">
      <alignment horizontal="center" vertical="center"/>
      <protection hidden="1"/>
    </xf>
    <xf numFmtId="0" fontId="25" fillId="5" borderId="3" xfId="0" applyFont="1" applyFill="1" applyBorder="1" applyAlignment="1">
      <alignment horizontal="center" vertical="center"/>
    </xf>
    <xf numFmtId="0" fontId="42" fillId="0" borderId="0" xfId="0" applyFont="1" applyAlignment="1" applyProtection="1">
      <alignment horizontal="center" vertical="center"/>
      <protection hidden="1"/>
    </xf>
    <xf numFmtId="0" fontId="45" fillId="0" borderId="69" xfId="0" applyFont="1" applyBorder="1" applyAlignment="1" applyProtection="1">
      <alignment horizontal="center" vertical="center"/>
      <protection hidden="1"/>
    </xf>
    <xf numFmtId="0" fontId="45" fillId="0" borderId="68" xfId="0" applyFont="1" applyBorder="1" applyAlignment="1" applyProtection="1">
      <alignment horizontal="center" vertical="center"/>
      <protection hidden="1"/>
    </xf>
    <xf numFmtId="0" fontId="45" fillId="0" borderId="34" xfId="0" applyFont="1" applyBorder="1" applyAlignment="1" applyProtection="1">
      <alignment horizontal="center" vertical="center"/>
      <protection hidden="1"/>
    </xf>
    <xf numFmtId="0" fontId="45" fillId="0" borderId="43" xfId="0" applyFont="1" applyBorder="1" applyAlignment="1" applyProtection="1">
      <alignment horizontal="center" vertical="center"/>
      <protection hidden="1"/>
    </xf>
    <xf numFmtId="0" fontId="45" fillId="0" borderId="53" xfId="0" applyFont="1" applyBorder="1" applyAlignment="1" applyProtection="1">
      <alignment horizontal="center" vertical="center"/>
      <protection hidden="1"/>
    </xf>
    <xf numFmtId="0" fontId="45" fillId="0" borderId="14" xfId="0" applyFont="1" applyBorder="1" applyAlignment="1" applyProtection="1">
      <alignment horizontal="center" vertical="center"/>
      <protection hidden="1"/>
    </xf>
    <xf numFmtId="0" fontId="45" fillId="0" borderId="78" xfId="0" quotePrefix="1" applyFont="1" applyBorder="1" applyAlignment="1" applyProtection="1">
      <alignment horizontal="center" vertical="center"/>
      <protection hidden="1"/>
    </xf>
    <xf numFmtId="0" fontId="45" fillId="0" borderId="57" xfId="0" quotePrefix="1" applyFont="1" applyBorder="1" applyAlignment="1" applyProtection="1">
      <alignment horizontal="center" vertical="center"/>
      <protection hidden="1"/>
    </xf>
    <xf numFmtId="0" fontId="45" fillId="0" borderId="67" xfId="0" quotePrefix="1" applyFont="1" applyBorder="1" applyAlignment="1" applyProtection="1">
      <alignment horizontal="center" vertical="center"/>
      <protection hidden="1"/>
    </xf>
    <xf numFmtId="0" fontId="45" fillId="0" borderId="58" xfId="0" quotePrefix="1" applyFont="1" applyBorder="1" applyAlignment="1" applyProtection="1">
      <alignment horizontal="center" vertical="center"/>
      <protection hidden="1"/>
    </xf>
    <xf numFmtId="0" fontId="45" fillId="0" borderId="59" xfId="0" quotePrefix="1" applyFont="1" applyBorder="1" applyAlignment="1" applyProtection="1">
      <alignment horizontal="center" vertical="center"/>
      <protection hidden="1"/>
    </xf>
    <xf numFmtId="0" fontId="45" fillId="0" borderId="66" xfId="0" quotePrefix="1" applyFont="1" applyBorder="1" applyAlignment="1" applyProtection="1">
      <alignment horizontal="center" vertical="center"/>
      <protection hidden="1"/>
    </xf>
    <xf numFmtId="0" fontId="45" fillId="0" borderId="78" xfId="0" applyFont="1" applyBorder="1" applyAlignment="1" applyProtection="1">
      <alignment horizontal="center" vertical="center"/>
      <protection hidden="1"/>
    </xf>
    <xf numFmtId="0" fontId="45" fillId="0" borderId="57" xfId="0" applyFont="1" applyBorder="1" applyAlignment="1" applyProtection="1">
      <alignment horizontal="center" vertical="center"/>
      <protection hidden="1"/>
    </xf>
    <xf numFmtId="0" fontId="45" fillId="0" borderId="67" xfId="0" applyFont="1" applyBorder="1" applyAlignment="1" applyProtection="1">
      <alignment horizontal="center" vertical="center"/>
      <protection hidden="1"/>
    </xf>
    <xf numFmtId="0" fontId="45" fillId="0" borderId="58" xfId="0" applyFont="1" applyBorder="1" applyAlignment="1" applyProtection="1">
      <alignment horizontal="center" vertical="center"/>
      <protection hidden="1"/>
    </xf>
    <xf numFmtId="0" fontId="45" fillId="0" borderId="59" xfId="0" applyFont="1" applyBorder="1" applyAlignment="1" applyProtection="1">
      <alignment horizontal="center" vertical="center"/>
      <protection hidden="1"/>
    </xf>
    <xf numFmtId="0" fontId="45" fillId="0" borderId="66" xfId="0" applyFont="1" applyBorder="1" applyAlignment="1" applyProtection="1">
      <alignment horizontal="center" vertical="center"/>
      <protection hidden="1"/>
    </xf>
    <xf numFmtId="0" fontId="45" fillId="0" borderId="79" xfId="0" applyFont="1" applyBorder="1" applyAlignment="1" applyProtection="1">
      <alignment horizontal="center" vertical="center"/>
      <protection hidden="1"/>
    </xf>
    <xf numFmtId="0" fontId="45" fillId="0" borderId="0" xfId="0" applyFont="1" applyBorder="1" applyAlignment="1" applyProtection="1">
      <alignment horizontal="center" vertical="center"/>
      <protection hidden="1"/>
    </xf>
    <xf numFmtId="0" fontId="45" fillId="0" borderId="56" xfId="0" applyFont="1" applyBorder="1" applyAlignment="1" applyProtection="1">
      <alignment horizontal="center" vertical="center"/>
      <protection hidden="1"/>
    </xf>
    <xf numFmtId="0" fontId="45" fillId="0" borderId="70" xfId="0" quotePrefix="1" applyFont="1" applyBorder="1" applyAlignment="1" applyProtection="1">
      <alignment horizontal="center" vertical="center"/>
      <protection hidden="1"/>
    </xf>
    <xf numFmtId="0" fontId="45" fillId="0" borderId="5" xfId="0" quotePrefix="1" applyFont="1" applyBorder="1" applyAlignment="1" applyProtection="1">
      <alignment horizontal="center" vertical="center"/>
      <protection hidden="1"/>
    </xf>
    <xf numFmtId="0" fontId="45" fillId="0" borderId="71" xfId="0" quotePrefix="1" applyFont="1" applyBorder="1" applyAlignment="1" applyProtection="1">
      <alignment horizontal="center" vertical="center"/>
      <protection hidden="1"/>
    </xf>
    <xf numFmtId="0" fontId="45" fillId="0" borderId="79" xfId="0" quotePrefix="1" applyFont="1" applyBorder="1" applyAlignment="1" applyProtection="1">
      <alignment horizontal="center" vertical="center"/>
      <protection hidden="1"/>
    </xf>
    <xf numFmtId="0" fontId="45" fillId="0" borderId="0" xfId="0" quotePrefix="1" applyFont="1" applyBorder="1" applyAlignment="1" applyProtection="1">
      <alignment horizontal="center" vertical="center"/>
      <protection hidden="1"/>
    </xf>
    <xf numFmtId="0" fontId="45" fillId="0" borderId="56" xfId="0" quotePrefix="1" applyFont="1" applyBorder="1" applyAlignment="1" applyProtection="1">
      <alignment horizontal="center" vertical="center"/>
      <protection hidden="1"/>
    </xf>
    <xf numFmtId="0" fontId="45" fillId="0" borderId="43" xfId="0" quotePrefix="1" applyFont="1" applyBorder="1" applyAlignment="1" applyProtection="1">
      <alignment horizontal="center" vertical="center"/>
      <protection hidden="1"/>
    </xf>
    <xf numFmtId="0" fontId="45" fillId="0" borderId="53" xfId="0" quotePrefix="1" applyFont="1" applyBorder="1" applyAlignment="1" applyProtection="1">
      <alignment horizontal="center" vertical="center"/>
      <protection hidden="1"/>
    </xf>
    <xf numFmtId="0" fontId="45" fillId="0" borderId="14" xfId="0" quotePrefix="1" applyFont="1" applyBorder="1" applyAlignment="1" applyProtection="1">
      <alignment horizontal="center" vertical="center"/>
      <protection hidden="1"/>
    </xf>
    <xf numFmtId="0" fontId="45" fillId="0" borderId="69" xfId="0" quotePrefix="1" applyFont="1" applyBorder="1" applyAlignment="1" applyProtection="1">
      <alignment horizontal="center" vertical="center"/>
      <protection hidden="1"/>
    </xf>
    <xf numFmtId="0" fontId="45" fillId="0" borderId="68" xfId="0" quotePrefix="1" applyFont="1" applyBorder="1" applyAlignment="1" applyProtection="1">
      <alignment horizontal="center" vertical="center"/>
      <protection hidden="1"/>
    </xf>
    <xf numFmtId="0" fontId="45" fillId="0" borderId="34" xfId="0" quotePrefix="1" applyFont="1" applyBorder="1" applyAlignment="1" applyProtection="1">
      <alignment horizontal="center" vertical="center"/>
      <protection hidden="1"/>
    </xf>
    <xf numFmtId="0" fontId="44" fillId="0" borderId="43" xfId="0" applyFont="1" applyBorder="1" applyAlignment="1" applyProtection="1">
      <alignment horizontal="center" vertical="center"/>
      <protection hidden="1"/>
    </xf>
    <xf numFmtId="0" fontId="44" fillId="0" borderId="53" xfId="0" applyFont="1" applyBorder="1" applyAlignment="1" applyProtection="1">
      <alignment horizontal="center" vertical="center"/>
      <protection hidden="1"/>
    </xf>
    <xf numFmtId="0" fontId="44" fillId="0" borderId="14" xfId="0" applyFont="1" applyBorder="1" applyAlignment="1" applyProtection="1">
      <alignment horizontal="center" vertical="center"/>
      <protection hidden="1"/>
    </xf>
    <xf numFmtId="0" fontId="45" fillId="0" borderId="70" xfId="0" applyFont="1" applyBorder="1" applyAlignment="1" applyProtection="1">
      <alignment horizontal="center" vertical="center"/>
      <protection hidden="1"/>
    </xf>
    <xf numFmtId="0" fontId="45" fillId="0" borderId="5" xfId="0" applyFont="1" applyBorder="1" applyAlignment="1" applyProtection="1">
      <alignment horizontal="center" vertical="center"/>
      <protection hidden="1"/>
    </xf>
    <xf numFmtId="0" fontId="45" fillId="0" borderId="71" xfId="0" applyFont="1" applyBorder="1" applyAlignment="1" applyProtection="1">
      <alignment horizontal="center" vertical="center"/>
      <protection hidden="1"/>
    </xf>
  </cellXfs>
  <cellStyles count="2">
    <cellStyle name="Neutral" xfId="1" builtinId="28"/>
    <cellStyle name="Normal" xfId="0" builtinId="0"/>
  </cellStyles>
  <dxfs count="2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499984740745262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499984740745262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499984740745262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499984740745262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outline val="0"/>
        <shadow val="0"/>
        <u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 tint="-0.49998474074526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8B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g"/><Relationship Id="rId1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jpg"/><Relationship Id="rId4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jpeg"/><Relationship Id="rId1" Type="http://schemas.openxmlformats.org/officeDocument/2006/relationships/image" Target="../media/image7.png"/><Relationship Id="rId4" Type="http://schemas.openxmlformats.org/officeDocument/2006/relationships/image" Target="../media/image14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jpeg"/><Relationship Id="rId1" Type="http://schemas.openxmlformats.org/officeDocument/2006/relationships/image" Target="../media/image7.png"/><Relationship Id="rId4" Type="http://schemas.openxmlformats.org/officeDocument/2006/relationships/image" Target="../media/image15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jpeg"/><Relationship Id="rId1" Type="http://schemas.openxmlformats.org/officeDocument/2006/relationships/image" Target="../media/image7.png"/><Relationship Id="rId4" Type="http://schemas.openxmlformats.org/officeDocument/2006/relationships/image" Target="../media/image15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jpeg"/><Relationship Id="rId1" Type="http://schemas.openxmlformats.org/officeDocument/2006/relationships/image" Target="../media/image7.png"/><Relationship Id="rId4" Type="http://schemas.openxmlformats.org/officeDocument/2006/relationships/image" Target="../media/image14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jpeg"/><Relationship Id="rId1" Type="http://schemas.openxmlformats.org/officeDocument/2006/relationships/image" Target="../media/image7.png"/><Relationship Id="rId4" Type="http://schemas.openxmlformats.org/officeDocument/2006/relationships/image" Target="../media/image14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jpeg"/><Relationship Id="rId1" Type="http://schemas.openxmlformats.org/officeDocument/2006/relationships/image" Target="../media/image7.png"/><Relationship Id="rId4" Type="http://schemas.openxmlformats.org/officeDocument/2006/relationships/image" Target="../media/image1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967740</xdr:colOff>
      <xdr:row>8</xdr:row>
      <xdr:rowOff>83820</xdr:rowOff>
    </xdr:from>
    <xdr:to>
      <xdr:col>13</xdr:col>
      <xdr:colOff>167640</xdr:colOff>
      <xdr:row>21</xdr:row>
      <xdr:rowOff>53340</xdr:rowOff>
    </xdr:to>
    <xdr:sp macro="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063240" y="1546860"/>
          <a:ext cx="8153400" cy="208788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10</xdr:row>
          <xdr:rowOff>7620</xdr:rowOff>
        </xdr:from>
        <xdr:to>
          <xdr:col>10</xdr:col>
          <xdr:colOff>129540</xdr:colOff>
          <xdr:row>13</xdr:row>
          <xdr:rowOff>30480</xdr:rowOff>
        </xdr:to>
        <xdr:sp macro="" textlink="">
          <xdr:nvSpPr>
            <xdr:cNvPr id="3073" name="Text_Use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15</xdr:row>
          <xdr:rowOff>0</xdr:rowOff>
        </xdr:from>
        <xdr:to>
          <xdr:col>10</xdr:col>
          <xdr:colOff>137160</xdr:colOff>
          <xdr:row>18</xdr:row>
          <xdr:rowOff>7620</xdr:rowOff>
        </xdr:to>
        <xdr:sp macro="" textlink="">
          <xdr:nvSpPr>
            <xdr:cNvPr id="3074" name="Text_Pas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510540</xdr:colOff>
          <xdr:row>11</xdr:row>
          <xdr:rowOff>144780</xdr:rowOff>
        </xdr:from>
        <xdr:to>
          <xdr:col>12</xdr:col>
          <xdr:colOff>434340</xdr:colOff>
          <xdr:row>16</xdr:row>
          <xdr:rowOff>137160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281940</xdr:colOff>
      <xdr:row>10</xdr:row>
      <xdr:rowOff>15240</xdr:rowOff>
    </xdr:from>
    <xdr:to>
      <xdr:col>6</xdr:col>
      <xdr:colOff>1508760</xdr:colOff>
      <xdr:row>12</xdr:row>
      <xdr:rowOff>45720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290060" y="1897380"/>
          <a:ext cx="1554480" cy="44196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400" b="1" i="1" u="sng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Utilisateur</a:t>
          </a:r>
          <a:r>
            <a:rPr lang="fr-FR" sz="2400" b="1" i="1" u="sng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>
    <xdr:from>
      <xdr:col>5</xdr:col>
      <xdr:colOff>259080</xdr:colOff>
      <xdr:row>15</xdr:row>
      <xdr:rowOff>7620</xdr:rowOff>
    </xdr:from>
    <xdr:to>
      <xdr:col>6</xdr:col>
      <xdr:colOff>1760220</xdr:colOff>
      <xdr:row>17</xdr:row>
      <xdr:rowOff>175260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139440" y="2499360"/>
          <a:ext cx="1828800" cy="5334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400" b="1" i="1" u="sng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Mot de passe</a:t>
          </a:r>
        </a:p>
      </xdr:txBody>
    </xdr:sp>
    <xdr:clientData/>
  </xdr:twoCellAnchor>
  <xdr:twoCellAnchor editAs="oneCell">
    <xdr:from>
      <xdr:col>0</xdr:col>
      <xdr:colOff>281940</xdr:colOff>
      <xdr:row>1</xdr:row>
      <xdr:rowOff>38100</xdr:rowOff>
    </xdr:from>
    <xdr:to>
      <xdr:col>3</xdr:col>
      <xdr:colOff>902858</xdr:colOff>
      <xdr:row>17</xdr:row>
      <xdr:rowOff>76200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220980"/>
          <a:ext cx="2716418" cy="2705100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 editAs="oneCell">
    <xdr:from>
      <xdr:col>13</xdr:col>
      <xdr:colOff>236278</xdr:colOff>
      <xdr:row>0</xdr:row>
      <xdr:rowOff>137160</xdr:rowOff>
    </xdr:from>
    <xdr:to>
      <xdr:col>16</xdr:col>
      <xdr:colOff>693420</xdr:colOff>
      <xdr:row>17</xdr:row>
      <xdr:rowOff>129540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5278" y="137160"/>
          <a:ext cx="2834582" cy="2842260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>
    <xdr:from>
      <xdr:col>6</xdr:col>
      <xdr:colOff>1005840</xdr:colOff>
      <xdr:row>23</xdr:row>
      <xdr:rowOff>91440</xdr:rowOff>
    </xdr:from>
    <xdr:to>
      <xdr:col>10</xdr:col>
      <xdr:colOff>441960</xdr:colOff>
      <xdr:row>30</xdr:row>
      <xdr:rowOff>121920</xdr:rowOff>
    </xdr:to>
    <xdr:sp macro="" textlink="$U$17">
      <xdr:nvSpPr>
        <xdr:cNvPr id="6" name="ZoneText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5341620" y="4046220"/>
          <a:ext cx="3589020" cy="1310640"/>
        </a:xfrm>
        <a:prstGeom prst="rect">
          <a:avLst/>
        </a:prstGeom>
        <a:ln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A0930845-0D41-45F9-857D-78C937571391}" type="TxLink">
            <a:rPr lang="en-US" sz="4800" b="1" i="0" u="none" strike="noStrik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Segoe Script" panose="030B0504020000000003" pitchFamily="66" charset="0"/>
              <a:cs typeface="Calibri"/>
            </a:rPr>
            <a:pPr algn="ctr"/>
            <a:t>14:01:01</a:t>
          </a:fld>
          <a:endParaRPr lang="fr-FR" sz="48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Segoe Script" panose="030B0504020000000003" pitchFamily="66" charset="0"/>
          </a:endParaRPr>
        </a:p>
      </xdr:txBody>
    </xdr:sp>
    <xdr:clientData/>
  </xdr:twoCellAnchor>
  <xdr:twoCellAnchor>
    <xdr:from>
      <xdr:col>0</xdr:col>
      <xdr:colOff>441960</xdr:colOff>
      <xdr:row>21</xdr:row>
      <xdr:rowOff>175260</xdr:rowOff>
    </xdr:from>
    <xdr:to>
      <xdr:col>6</xdr:col>
      <xdr:colOff>640080</xdr:colOff>
      <xdr:row>29</xdr:row>
      <xdr:rowOff>160020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41960" y="3764280"/>
          <a:ext cx="4533900" cy="1447800"/>
        </a:xfrm>
        <a:prstGeom prst="wedgeRectCallout">
          <a:avLst/>
        </a:prstGeom>
        <a:solidFill>
          <a:sysClr val="window" lastClr="FFFFFF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800" b="1" i="1">
              <a:latin typeface="Gigi" panose="04040504061007020D02" pitchFamily="82" charset="0"/>
            </a:rPr>
            <a:t>Se réunir est un début, rester ensemble est un progrès, travailler ensemble est la réussite.</a:t>
          </a:r>
        </a:p>
        <a:p>
          <a:pPr algn="l"/>
          <a:r>
            <a:rPr lang="fr-FR" sz="1800" b="0" i="1">
              <a:solidFill>
                <a:sysClr val="windowText" lastClr="000000"/>
              </a:solidFill>
              <a:latin typeface="Forte" panose="03060902040502070203" pitchFamily="66" charset="0"/>
            </a:rPr>
            <a:t>Med Yassine BEN HAJ HAMIDA,</a:t>
          </a:r>
          <a:r>
            <a:rPr lang="fr-FR" sz="1800" b="0" i="1" baseline="0">
              <a:solidFill>
                <a:sysClr val="windowText" lastClr="000000"/>
              </a:solidFill>
              <a:latin typeface="Forte" panose="03060902040502070203" pitchFamily="66" charset="0"/>
            </a:rPr>
            <a:t> élève ingénieur en génie civil</a:t>
          </a:r>
          <a:endParaRPr lang="fr-FR" sz="1800" b="0" i="1">
            <a:solidFill>
              <a:sysClr val="windowText" lastClr="000000"/>
            </a:solidFill>
            <a:latin typeface="Forte" panose="03060902040502070203" pitchFamily="66" charset="0"/>
          </a:endParaRPr>
        </a:p>
      </xdr:txBody>
    </xdr:sp>
    <xdr:clientData/>
  </xdr:twoCellAnchor>
  <xdr:twoCellAnchor>
    <xdr:from>
      <xdr:col>11</xdr:col>
      <xdr:colOff>144780</xdr:colOff>
      <xdr:row>22</xdr:row>
      <xdr:rowOff>83820</xdr:rowOff>
    </xdr:from>
    <xdr:to>
      <xdr:col>16</xdr:col>
      <xdr:colOff>716280</xdr:colOff>
      <xdr:row>30</xdr:row>
      <xdr:rowOff>68580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608820" y="3848100"/>
          <a:ext cx="4533900" cy="1447800"/>
        </a:xfrm>
        <a:prstGeom prst="wedgeRectCallout">
          <a:avLst/>
        </a:prstGeom>
        <a:solidFill>
          <a:sysClr val="window" lastClr="FFFFFF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800" b="1" i="1">
              <a:latin typeface="Gigi" panose="04040504061007020D02" pitchFamily="82" charset="0"/>
            </a:rPr>
            <a:t>Le travail en équipe ne peut se faire sans l’aide d’un outil qui permet de collaborer à distance, en tout lieu et à tout moment, </a:t>
          </a:r>
        </a:p>
        <a:p>
          <a:pPr algn="l"/>
          <a:r>
            <a:rPr lang="fr-FR" sz="1800" b="0" i="1" baseline="0">
              <a:solidFill>
                <a:sysClr val="windowText" lastClr="000000"/>
              </a:solidFill>
              <a:latin typeface="Forte" panose="03060902040502070203" pitchFamily="66" charset="0"/>
              <a:ea typeface="+mn-ea"/>
              <a:cs typeface="+mn-cs"/>
            </a:rPr>
            <a:t>Hatem </a:t>
          </a:r>
          <a:r>
            <a:rPr lang="fr-FR" sz="1800" b="0" i="1" baseline="0">
              <a:solidFill>
                <a:sysClr val="windowText" lastClr="000000"/>
              </a:solidFill>
              <a:latin typeface="Forte" panose="03060902040502070203" pitchFamily="66" charset="0"/>
            </a:rPr>
            <a:t>FRAY</a:t>
          </a:r>
          <a:r>
            <a:rPr lang="fr-FR" sz="1800" b="0" i="1">
              <a:solidFill>
                <a:sysClr val="windowText" lastClr="000000"/>
              </a:solidFill>
              <a:latin typeface="Forte" panose="03060902040502070203" pitchFamily="66" charset="0"/>
            </a:rPr>
            <a:t>,</a:t>
          </a:r>
          <a:r>
            <a:rPr lang="fr-FR" sz="1800" b="0" i="1" baseline="0">
              <a:solidFill>
                <a:sysClr val="windowText" lastClr="000000"/>
              </a:solidFill>
              <a:latin typeface="Forte" panose="03060902040502070203" pitchFamily="66" charset="0"/>
            </a:rPr>
            <a:t> élève ingénieur en génie civil</a:t>
          </a:r>
          <a:endParaRPr lang="fr-FR" sz="1800" b="0" i="1">
            <a:solidFill>
              <a:sysClr val="windowText" lastClr="000000"/>
            </a:solidFill>
            <a:latin typeface="Forte" panose="03060902040502070203" pitchFamily="66" charset="0"/>
          </a:endParaRPr>
        </a:p>
      </xdr:txBody>
    </xdr:sp>
    <xdr:clientData/>
  </xdr:twoCellAnchor>
  <xdr:twoCellAnchor>
    <xdr:from>
      <xdr:col>1</xdr:col>
      <xdr:colOff>381000</xdr:colOff>
      <xdr:row>17</xdr:row>
      <xdr:rowOff>114300</xdr:rowOff>
    </xdr:from>
    <xdr:to>
      <xdr:col>2</xdr:col>
      <xdr:colOff>297180</xdr:colOff>
      <xdr:row>21</xdr:row>
      <xdr:rowOff>106680</xdr:rowOff>
    </xdr:to>
    <xdr:sp macro="" textlink="">
      <xdr:nvSpPr>
        <xdr:cNvPr id="8" name="Étoile à 24 branche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143000" y="2964180"/>
          <a:ext cx="708660" cy="723900"/>
        </a:xfrm>
        <a:prstGeom prst="star24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 b="1" i="1"/>
            <a:t> 23</a:t>
          </a:r>
        </a:p>
      </xdr:txBody>
    </xdr:sp>
    <xdr:clientData/>
  </xdr:twoCellAnchor>
  <xdr:twoCellAnchor>
    <xdr:from>
      <xdr:col>14</xdr:col>
      <xdr:colOff>495300</xdr:colOff>
      <xdr:row>18</xdr:row>
      <xdr:rowOff>22860</xdr:rowOff>
    </xdr:from>
    <xdr:to>
      <xdr:col>15</xdr:col>
      <xdr:colOff>411480</xdr:colOff>
      <xdr:row>22</xdr:row>
      <xdr:rowOff>15240</xdr:rowOff>
    </xdr:to>
    <xdr:sp macro="" textlink="">
      <xdr:nvSpPr>
        <xdr:cNvPr id="15" name="Étoile à 24 branche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2336780" y="3055620"/>
          <a:ext cx="708660" cy="723900"/>
        </a:xfrm>
        <a:prstGeom prst="star24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 b="1" i="1"/>
            <a:t> 23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182880</xdr:colOff>
      <xdr:row>2</xdr:row>
      <xdr:rowOff>0</xdr:rowOff>
    </xdr:from>
    <xdr:to>
      <xdr:col>9</xdr:col>
      <xdr:colOff>487680</xdr:colOff>
      <xdr:row>7</xdr:row>
      <xdr:rowOff>110858</xdr:rowOff>
    </xdr:to>
    <xdr:pic>
      <xdr:nvPicPr>
        <xdr:cNvPr id="2" name="Picture 1" descr="C:\Users\Majdi\Downloads\logo-esprit--new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37760" y="365760"/>
          <a:ext cx="2682240" cy="1025258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 editAs="oneCell">
    <xdr:from>
      <xdr:col>4</xdr:col>
      <xdr:colOff>53340</xdr:colOff>
      <xdr:row>10</xdr:row>
      <xdr:rowOff>27208</xdr:rowOff>
    </xdr:from>
    <xdr:to>
      <xdr:col>6</xdr:col>
      <xdr:colOff>83820</xdr:colOff>
      <xdr:row>12</xdr:row>
      <xdr:rowOff>99220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3223260" y="1856008"/>
          <a:ext cx="1615440" cy="43777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9</xdr:col>
      <xdr:colOff>680952</xdr:colOff>
      <xdr:row>10</xdr:row>
      <xdr:rowOff>39849</xdr:rowOff>
    </xdr:from>
    <xdr:to>
      <xdr:col>11</xdr:col>
      <xdr:colOff>347612</xdr:colOff>
      <xdr:row>12</xdr:row>
      <xdr:rowOff>97117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813272" y="1868649"/>
          <a:ext cx="1251620" cy="42302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7</xdr:col>
      <xdr:colOff>187036</xdr:colOff>
      <xdr:row>10</xdr:row>
      <xdr:rowOff>53340</xdr:rowOff>
    </xdr:from>
    <xdr:to>
      <xdr:col>8</xdr:col>
      <xdr:colOff>596222</xdr:colOff>
      <xdr:row>12</xdr:row>
      <xdr:rowOff>127458</xdr:rowOff>
    </xdr:to>
    <xdr:pic>
      <xdr:nvPicPr>
        <xdr:cNvPr id="5" name="Picture 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5734396" y="1882140"/>
          <a:ext cx="1201666" cy="43987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624840</xdr:colOff>
          <xdr:row>1</xdr:row>
          <xdr:rowOff>68580</xdr:rowOff>
        </xdr:from>
        <xdr:to>
          <xdr:col>4</xdr:col>
          <xdr:colOff>182880</xdr:colOff>
          <xdr:row>5</xdr:row>
          <xdr:rowOff>91440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678180</xdr:colOff>
      <xdr:row>14</xdr:row>
      <xdr:rowOff>83820</xdr:rowOff>
    </xdr:from>
    <xdr:to>
      <xdr:col>10</xdr:col>
      <xdr:colOff>373295</xdr:colOff>
      <xdr:row>29</xdr:row>
      <xdr:rowOff>38099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0580" y="2644140"/>
          <a:ext cx="3657515" cy="269747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345141</xdr:colOff>
      <xdr:row>1</xdr:row>
      <xdr:rowOff>109369</xdr:rowOff>
    </xdr:from>
    <xdr:to>
      <xdr:col>1</xdr:col>
      <xdr:colOff>160916</xdr:colOff>
      <xdr:row>3</xdr:row>
      <xdr:rowOff>238909</xdr:rowOff>
    </xdr:to>
    <xdr:pic>
      <xdr:nvPicPr>
        <xdr:cNvPr id="3" name="Picture 1" descr="C:\Users\Majdi\Downloads\logo-esprit--new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5141" y="288663"/>
          <a:ext cx="1886622" cy="74810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5</xdr:col>
      <xdr:colOff>180220</xdr:colOff>
      <xdr:row>4</xdr:row>
      <xdr:rowOff>116542</xdr:rowOff>
    </xdr:from>
    <xdr:to>
      <xdr:col>7</xdr:col>
      <xdr:colOff>642320</xdr:colOff>
      <xdr:row>15</xdr:row>
      <xdr:rowOff>131224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0973" y="1219201"/>
          <a:ext cx="2039889" cy="204967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</xdr:col>
      <xdr:colOff>297180</xdr:colOff>
      <xdr:row>5</xdr:row>
      <xdr:rowOff>68579</xdr:rowOff>
    </xdr:from>
    <xdr:to>
      <xdr:col>2</xdr:col>
      <xdr:colOff>1159585</xdr:colOff>
      <xdr:row>15</xdr:row>
      <xdr:rowOff>66178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5060" y="1356359"/>
          <a:ext cx="2918460" cy="1876153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  <xdr:twoCellAnchor editAs="oneCell">
    <xdr:from>
      <xdr:col>9</xdr:col>
      <xdr:colOff>887506</xdr:colOff>
      <xdr:row>4</xdr:row>
      <xdr:rowOff>53789</xdr:rowOff>
    </xdr:from>
    <xdr:to>
      <xdr:col>12</xdr:col>
      <xdr:colOff>161364</xdr:colOff>
      <xdr:row>15</xdr:row>
      <xdr:rowOff>62754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435" y="1156448"/>
          <a:ext cx="2043953" cy="2043953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345141</xdr:colOff>
      <xdr:row>1</xdr:row>
      <xdr:rowOff>109369</xdr:rowOff>
    </xdr:from>
    <xdr:to>
      <xdr:col>1</xdr:col>
      <xdr:colOff>160916</xdr:colOff>
      <xdr:row>3</xdr:row>
      <xdr:rowOff>238909</xdr:rowOff>
    </xdr:to>
    <xdr:pic>
      <xdr:nvPicPr>
        <xdr:cNvPr id="2" name="Picture 1" descr="C:\Users\Majdi\Downloads\logo-esprit--new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5141" y="292249"/>
          <a:ext cx="1888415" cy="74676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5</xdr:col>
      <xdr:colOff>81608</xdr:colOff>
      <xdr:row>4</xdr:row>
      <xdr:rowOff>8966</xdr:rowOff>
    </xdr:from>
    <xdr:to>
      <xdr:col>7</xdr:col>
      <xdr:colOff>292697</xdr:colOff>
      <xdr:row>15</xdr:row>
      <xdr:rowOff>23648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9090" y="1111625"/>
          <a:ext cx="2039889" cy="204967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</xdr:col>
      <xdr:colOff>297180</xdr:colOff>
      <xdr:row>5</xdr:row>
      <xdr:rowOff>68579</xdr:rowOff>
    </xdr:from>
    <xdr:to>
      <xdr:col>2</xdr:col>
      <xdr:colOff>1159585</xdr:colOff>
      <xdr:row>15</xdr:row>
      <xdr:rowOff>66178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9820" y="1356359"/>
          <a:ext cx="2912185" cy="1876153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  <xdr:twoCellAnchor editAs="oneCell">
    <xdr:from>
      <xdr:col>9</xdr:col>
      <xdr:colOff>860613</xdr:colOff>
      <xdr:row>4</xdr:row>
      <xdr:rowOff>35861</xdr:rowOff>
    </xdr:from>
    <xdr:to>
      <xdr:col>12</xdr:col>
      <xdr:colOff>134472</xdr:colOff>
      <xdr:row>15</xdr:row>
      <xdr:rowOff>44826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01601" y="1138520"/>
          <a:ext cx="2043953" cy="2043953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345141</xdr:colOff>
      <xdr:row>1</xdr:row>
      <xdr:rowOff>109369</xdr:rowOff>
    </xdr:from>
    <xdr:to>
      <xdr:col>1</xdr:col>
      <xdr:colOff>160916</xdr:colOff>
      <xdr:row>3</xdr:row>
      <xdr:rowOff>238909</xdr:rowOff>
    </xdr:to>
    <xdr:pic>
      <xdr:nvPicPr>
        <xdr:cNvPr id="2" name="Picture 1" descr="C:\Users\Majdi\Downloads\logo-esprit--new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5141" y="292249"/>
          <a:ext cx="1888415" cy="74676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5</xdr:col>
      <xdr:colOff>81608</xdr:colOff>
      <xdr:row>4</xdr:row>
      <xdr:rowOff>8966</xdr:rowOff>
    </xdr:from>
    <xdr:to>
      <xdr:col>7</xdr:col>
      <xdr:colOff>292697</xdr:colOff>
      <xdr:row>15</xdr:row>
      <xdr:rowOff>23648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4608" y="1113866"/>
          <a:ext cx="2039889" cy="2079702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</xdr:col>
      <xdr:colOff>297180</xdr:colOff>
      <xdr:row>5</xdr:row>
      <xdr:rowOff>68579</xdr:rowOff>
    </xdr:from>
    <xdr:to>
      <xdr:col>2</xdr:col>
      <xdr:colOff>1159585</xdr:colOff>
      <xdr:row>15</xdr:row>
      <xdr:rowOff>66178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9820" y="1363979"/>
          <a:ext cx="2912185" cy="1872119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  <xdr:twoCellAnchor editAs="oneCell">
    <xdr:from>
      <xdr:col>9</xdr:col>
      <xdr:colOff>860613</xdr:colOff>
      <xdr:row>4</xdr:row>
      <xdr:rowOff>35861</xdr:rowOff>
    </xdr:from>
    <xdr:to>
      <xdr:col>12</xdr:col>
      <xdr:colOff>134472</xdr:colOff>
      <xdr:row>15</xdr:row>
      <xdr:rowOff>44826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52613" y="1140761"/>
          <a:ext cx="2055159" cy="2073985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345141</xdr:colOff>
      <xdr:row>1</xdr:row>
      <xdr:rowOff>109369</xdr:rowOff>
    </xdr:from>
    <xdr:to>
      <xdr:col>1</xdr:col>
      <xdr:colOff>160916</xdr:colOff>
      <xdr:row>3</xdr:row>
      <xdr:rowOff>238909</xdr:rowOff>
    </xdr:to>
    <xdr:pic>
      <xdr:nvPicPr>
        <xdr:cNvPr id="2" name="Picture 1" descr="C:\Users\Majdi\Downloads\logo-esprit--new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5141" y="292249"/>
          <a:ext cx="1888415" cy="74676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5</xdr:col>
      <xdr:colOff>470228</xdr:colOff>
      <xdr:row>4</xdr:row>
      <xdr:rowOff>54686</xdr:rowOff>
    </xdr:from>
    <xdr:to>
      <xdr:col>7</xdr:col>
      <xdr:colOff>681317</xdr:colOff>
      <xdr:row>15</xdr:row>
      <xdr:rowOff>69368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3228" y="1159586"/>
          <a:ext cx="2039889" cy="2064462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</xdr:col>
      <xdr:colOff>297180</xdr:colOff>
      <xdr:row>5</xdr:row>
      <xdr:rowOff>68579</xdr:rowOff>
    </xdr:from>
    <xdr:to>
      <xdr:col>2</xdr:col>
      <xdr:colOff>1159585</xdr:colOff>
      <xdr:row>15</xdr:row>
      <xdr:rowOff>66178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9820" y="1363979"/>
          <a:ext cx="2912185" cy="1872119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  <xdr:twoCellAnchor editAs="oneCell">
    <xdr:from>
      <xdr:col>8</xdr:col>
      <xdr:colOff>601533</xdr:colOff>
      <xdr:row>4</xdr:row>
      <xdr:rowOff>66341</xdr:rowOff>
    </xdr:from>
    <xdr:to>
      <xdr:col>13</xdr:col>
      <xdr:colOff>652632</xdr:colOff>
      <xdr:row>15</xdr:row>
      <xdr:rowOff>75306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053" y="1171241"/>
          <a:ext cx="2055159" cy="2058745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9</xdr:col>
      <xdr:colOff>0</xdr:colOff>
      <xdr:row>44</xdr:row>
      <xdr:rowOff>7620</xdr:rowOff>
    </xdr:from>
    <xdr:to>
      <xdr:col>9</xdr:col>
      <xdr:colOff>0</xdr:colOff>
      <xdr:row>44</xdr:row>
      <xdr:rowOff>91440</xdr:rowOff>
    </xdr:to>
    <xdr:sp macro="" textlink="">
      <xdr:nvSpPr>
        <xdr:cNvPr id="18" name="Line 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 flipV="1">
          <a:off x="3657600" y="4511040"/>
          <a:ext cx="0" cy="838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44</xdr:row>
      <xdr:rowOff>0</xdr:rowOff>
    </xdr:from>
    <xdr:to>
      <xdr:col>15</xdr:col>
      <xdr:colOff>0</xdr:colOff>
      <xdr:row>44</xdr:row>
      <xdr:rowOff>99060</xdr:rowOff>
    </xdr:to>
    <xdr:sp macro="" textlink="">
      <xdr:nvSpPr>
        <xdr:cNvPr id="19" name="Line 2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ShapeType="1"/>
        </xdr:cNvSpPr>
      </xdr:nvSpPr>
      <xdr:spPr bwMode="auto">
        <a:xfrm flipV="1">
          <a:off x="5166360" y="4503420"/>
          <a:ext cx="0" cy="9906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42</xdr:row>
      <xdr:rowOff>0</xdr:rowOff>
    </xdr:from>
    <xdr:to>
      <xdr:col>9</xdr:col>
      <xdr:colOff>0</xdr:colOff>
      <xdr:row>43</xdr:row>
      <xdr:rowOff>152400</xdr:rowOff>
    </xdr:to>
    <xdr:sp macro="" textlink="">
      <xdr:nvSpPr>
        <xdr:cNvPr id="20" name="Line 7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3657600" y="4198620"/>
          <a:ext cx="0" cy="304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42</xdr:row>
      <xdr:rowOff>0</xdr:rowOff>
    </xdr:from>
    <xdr:to>
      <xdr:col>15</xdr:col>
      <xdr:colOff>0</xdr:colOff>
      <xdr:row>44</xdr:row>
      <xdr:rowOff>0</xdr:rowOff>
    </xdr:to>
    <xdr:sp macro="" textlink="">
      <xdr:nvSpPr>
        <xdr:cNvPr id="21" name="Line 8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ShapeType="1"/>
        </xdr:cNvSpPr>
      </xdr:nvSpPr>
      <xdr:spPr bwMode="auto">
        <a:xfrm flipV="1">
          <a:off x="5166360" y="4198620"/>
          <a:ext cx="0" cy="304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42</xdr:row>
      <xdr:rowOff>0</xdr:rowOff>
    </xdr:from>
    <xdr:to>
      <xdr:col>9</xdr:col>
      <xdr:colOff>0</xdr:colOff>
      <xdr:row>42</xdr:row>
      <xdr:rowOff>7620</xdr:rowOff>
    </xdr:to>
    <xdr:sp macro="" textlink="">
      <xdr:nvSpPr>
        <xdr:cNvPr id="22" name="Arc 9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/>
        </xdr:cNvSpPr>
      </xdr:nvSpPr>
      <xdr:spPr bwMode="auto">
        <a:xfrm>
          <a:off x="3657600" y="4198620"/>
          <a:ext cx="0" cy="762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0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0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42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23" name="Arc 1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/>
        </xdr:cNvSpPr>
      </xdr:nvSpPr>
      <xdr:spPr bwMode="auto">
        <a:xfrm flipH="1" flipV="1">
          <a:off x="12192000" y="8113059"/>
          <a:ext cx="2770094" cy="905435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0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0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12</xdr:col>
      <xdr:colOff>0</xdr:colOff>
      <xdr:row>42</xdr:row>
      <xdr:rowOff>0</xdr:rowOff>
    </xdr:from>
    <xdr:to>
      <xdr:col>15</xdr:col>
      <xdr:colOff>0</xdr:colOff>
      <xdr:row>47</xdr:row>
      <xdr:rowOff>0</xdr:rowOff>
    </xdr:to>
    <xdr:sp macro="" textlink="">
      <xdr:nvSpPr>
        <xdr:cNvPr id="24" name="Arc 14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/>
        </xdr:cNvSpPr>
      </xdr:nvSpPr>
      <xdr:spPr bwMode="auto">
        <a:xfrm flipV="1">
          <a:off x="4411980" y="4198620"/>
          <a:ext cx="754380" cy="76200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0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0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14</xdr:col>
      <xdr:colOff>365760</xdr:colOff>
      <xdr:row>27</xdr:row>
      <xdr:rowOff>0</xdr:rowOff>
    </xdr:from>
    <xdr:to>
      <xdr:col>15</xdr:col>
      <xdr:colOff>0</xdr:colOff>
      <xdr:row>27</xdr:row>
      <xdr:rowOff>0</xdr:rowOff>
    </xdr:to>
    <xdr:sp macro="" textlink="">
      <xdr:nvSpPr>
        <xdr:cNvPr id="25" name="Line 1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5166360" y="19126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312420</xdr:colOff>
      <xdr:row>28</xdr:row>
      <xdr:rowOff>38100</xdr:rowOff>
    </xdr:from>
    <xdr:to>
      <xdr:col>15</xdr:col>
      <xdr:colOff>312420</xdr:colOff>
      <xdr:row>28</xdr:row>
      <xdr:rowOff>137160</xdr:rowOff>
    </xdr:to>
    <xdr:sp macro="" textlink="">
      <xdr:nvSpPr>
        <xdr:cNvPr id="26" name="Line 20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 flipV="1">
          <a:off x="14851380" y="5882640"/>
          <a:ext cx="0" cy="99060"/>
        </a:xfrm>
        <a:prstGeom prst="line">
          <a:avLst/>
        </a:prstGeom>
        <a:ln>
          <a:headEnd/>
          <a:tailEnd type="triangle" w="sm" len="med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sp>
    <xdr:clientData/>
  </xdr:twoCellAnchor>
  <xdr:twoCellAnchor>
    <xdr:from>
      <xdr:col>15</xdr:col>
      <xdr:colOff>304800</xdr:colOff>
      <xdr:row>39</xdr:row>
      <xdr:rowOff>76200</xdr:rowOff>
    </xdr:from>
    <xdr:to>
      <xdr:col>15</xdr:col>
      <xdr:colOff>304800</xdr:colOff>
      <xdr:row>39</xdr:row>
      <xdr:rowOff>167640</xdr:rowOff>
    </xdr:to>
    <xdr:sp macro="" textlink="">
      <xdr:nvSpPr>
        <xdr:cNvPr id="27" name="Line 2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14843760" y="7985760"/>
          <a:ext cx="0" cy="91440"/>
        </a:xfrm>
        <a:prstGeom prst="line">
          <a:avLst/>
        </a:prstGeom>
        <a:ln>
          <a:headEnd/>
          <a:tailEnd type="triangle" w="sm" len="med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sp>
    <xdr:clientData/>
  </xdr:twoCellAnchor>
  <xdr:twoCellAnchor>
    <xdr:from>
      <xdr:col>9</xdr:col>
      <xdr:colOff>0</xdr:colOff>
      <xdr:row>27</xdr:row>
      <xdr:rowOff>0</xdr:rowOff>
    </xdr:from>
    <xdr:to>
      <xdr:col>9</xdr:col>
      <xdr:colOff>76200</xdr:colOff>
      <xdr:row>27</xdr:row>
      <xdr:rowOff>0</xdr:rowOff>
    </xdr:to>
    <xdr:sp macro="" textlink="">
      <xdr:nvSpPr>
        <xdr:cNvPr id="28" name="Line 23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ShapeType="1"/>
        </xdr:cNvSpPr>
      </xdr:nvSpPr>
      <xdr:spPr bwMode="auto">
        <a:xfrm flipH="1">
          <a:off x="3657600" y="1912620"/>
          <a:ext cx="762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175260</xdr:colOff>
      <xdr:row>27</xdr:row>
      <xdr:rowOff>0</xdr:rowOff>
    </xdr:from>
    <xdr:to>
      <xdr:col>15</xdr:col>
      <xdr:colOff>0</xdr:colOff>
      <xdr:row>27</xdr:row>
      <xdr:rowOff>0</xdr:rowOff>
    </xdr:to>
    <xdr:sp macro="" textlink="">
      <xdr:nvSpPr>
        <xdr:cNvPr id="29" name="Line 24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>
          <a:off x="5090160" y="1912620"/>
          <a:ext cx="762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312420</xdr:colOff>
      <xdr:row>28</xdr:row>
      <xdr:rowOff>114300</xdr:rowOff>
    </xdr:from>
    <xdr:to>
      <xdr:col>15</xdr:col>
      <xdr:colOff>312420</xdr:colOff>
      <xdr:row>39</xdr:row>
      <xdr:rowOff>114300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CxnSpPr/>
      </xdr:nvCxnSpPr>
      <xdr:spPr>
        <a:xfrm>
          <a:off x="14851380" y="5958840"/>
          <a:ext cx="0" cy="20650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6626</xdr:colOff>
      <xdr:row>43</xdr:row>
      <xdr:rowOff>178904</xdr:rowOff>
    </xdr:from>
    <xdr:to>
      <xdr:col>15</xdr:col>
      <xdr:colOff>0</xdr:colOff>
      <xdr:row>44</xdr:row>
      <xdr:rowOff>0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CxnSpPr>
          <a:endCxn id="21" idx="0"/>
        </xdr:cNvCxnSpPr>
      </xdr:nvCxnSpPr>
      <xdr:spPr>
        <a:xfrm>
          <a:off x="12198626" y="8680174"/>
          <a:ext cx="5486400" cy="1325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</xdr:colOff>
      <xdr:row>27</xdr:row>
      <xdr:rowOff>0</xdr:rowOff>
    </xdr:from>
    <xdr:to>
      <xdr:col>15</xdr:col>
      <xdr:colOff>0</xdr:colOff>
      <xdr:row>27</xdr:row>
      <xdr:rowOff>1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CxnSpPr>
          <a:stCxn id="28" idx="0"/>
          <a:endCxn id="29" idx="1"/>
        </xdr:cNvCxnSpPr>
      </xdr:nvCxnSpPr>
      <xdr:spPr>
        <a:xfrm>
          <a:off x="12268200" y="5519530"/>
          <a:ext cx="5416826" cy="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345141</xdr:colOff>
      <xdr:row>1</xdr:row>
      <xdr:rowOff>109369</xdr:rowOff>
    </xdr:from>
    <xdr:to>
      <xdr:col>1</xdr:col>
      <xdr:colOff>160916</xdr:colOff>
      <xdr:row>3</xdr:row>
      <xdr:rowOff>238909</xdr:rowOff>
    </xdr:to>
    <xdr:pic>
      <xdr:nvPicPr>
        <xdr:cNvPr id="2" name="Picture 1" descr="C:\Users\Majdi\Downloads\logo-esprit--new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5141" y="292249"/>
          <a:ext cx="1888415" cy="74676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5</xdr:col>
      <xdr:colOff>81608</xdr:colOff>
      <xdr:row>4</xdr:row>
      <xdr:rowOff>8966</xdr:rowOff>
    </xdr:from>
    <xdr:to>
      <xdr:col>7</xdr:col>
      <xdr:colOff>292697</xdr:colOff>
      <xdr:row>15</xdr:row>
      <xdr:rowOff>23648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4608" y="1113866"/>
          <a:ext cx="2039889" cy="2064462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</xdr:col>
      <xdr:colOff>297180</xdr:colOff>
      <xdr:row>5</xdr:row>
      <xdr:rowOff>68579</xdr:rowOff>
    </xdr:from>
    <xdr:to>
      <xdr:col>2</xdr:col>
      <xdr:colOff>1159585</xdr:colOff>
      <xdr:row>15</xdr:row>
      <xdr:rowOff>66178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9820" y="1363979"/>
          <a:ext cx="2912185" cy="1856879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  <xdr:twoCellAnchor editAs="oneCell">
    <xdr:from>
      <xdr:col>9</xdr:col>
      <xdr:colOff>860613</xdr:colOff>
      <xdr:row>4</xdr:row>
      <xdr:rowOff>35861</xdr:rowOff>
    </xdr:from>
    <xdr:to>
      <xdr:col>13</xdr:col>
      <xdr:colOff>20172</xdr:colOff>
      <xdr:row>15</xdr:row>
      <xdr:rowOff>44826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52613" y="1140761"/>
          <a:ext cx="2055159" cy="2058745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9</xdr:col>
      <xdr:colOff>0</xdr:colOff>
      <xdr:row>40</xdr:row>
      <xdr:rowOff>0</xdr:rowOff>
    </xdr:from>
    <xdr:to>
      <xdr:col>9</xdr:col>
      <xdr:colOff>0</xdr:colOff>
      <xdr:row>40</xdr:row>
      <xdr:rowOff>7620</xdr:rowOff>
    </xdr:to>
    <xdr:sp macro="" textlink="">
      <xdr:nvSpPr>
        <xdr:cNvPr id="10" name="Arc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/>
        </xdr:cNvSpPr>
      </xdr:nvSpPr>
      <xdr:spPr bwMode="auto">
        <a:xfrm>
          <a:off x="12192000" y="8481060"/>
          <a:ext cx="0" cy="762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0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0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28</xdr:row>
      <xdr:rowOff>0</xdr:rowOff>
    </xdr:from>
    <xdr:to>
      <xdr:col>9</xdr:col>
      <xdr:colOff>68580</xdr:colOff>
      <xdr:row>28</xdr:row>
      <xdr:rowOff>0</xdr:rowOff>
    </xdr:to>
    <xdr:sp macro="" textlink="">
      <xdr:nvSpPr>
        <xdr:cNvPr id="21" name="Line 6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 noChangeShapeType="1"/>
        </xdr:cNvSpPr>
      </xdr:nvSpPr>
      <xdr:spPr bwMode="auto">
        <a:xfrm flipH="1">
          <a:off x="3108960" y="2339340"/>
          <a:ext cx="6858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39</xdr:row>
      <xdr:rowOff>7620</xdr:rowOff>
    </xdr:from>
    <xdr:to>
      <xdr:col>9</xdr:col>
      <xdr:colOff>83820</xdr:colOff>
      <xdr:row>39</xdr:row>
      <xdr:rowOff>7620</xdr:rowOff>
    </xdr:to>
    <xdr:sp macro="" textlink="">
      <xdr:nvSpPr>
        <xdr:cNvPr id="22" name="Line 7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ShapeType="1"/>
        </xdr:cNvSpPr>
      </xdr:nvSpPr>
      <xdr:spPr bwMode="auto">
        <a:xfrm flipH="1">
          <a:off x="3108960" y="4130040"/>
          <a:ext cx="8382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</xdr:row>
      <xdr:rowOff>68580</xdr:rowOff>
    </xdr:from>
    <xdr:to>
      <xdr:col>10</xdr:col>
      <xdr:colOff>0</xdr:colOff>
      <xdr:row>39</xdr:row>
      <xdr:rowOff>0</xdr:rowOff>
    </xdr:to>
    <xdr:sp macro="" textlink="">
      <xdr:nvSpPr>
        <xdr:cNvPr id="23" name="Arc 8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/>
        </xdr:cNvSpPr>
      </xdr:nvSpPr>
      <xdr:spPr bwMode="auto">
        <a:xfrm flipV="1">
          <a:off x="2720340" y="3215640"/>
          <a:ext cx="777240" cy="90678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28</xdr:row>
      <xdr:rowOff>0</xdr:rowOff>
    </xdr:from>
    <xdr:to>
      <xdr:col>10</xdr:col>
      <xdr:colOff>0</xdr:colOff>
      <xdr:row>33</xdr:row>
      <xdr:rowOff>76200</xdr:rowOff>
    </xdr:to>
    <xdr:sp macro="" textlink="">
      <xdr:nvSpPr>
        <xdr:cNvPr id="24" name="Arc 9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/>
        </xdr:cNvSpPr>
      </xdr:nvSpPr>
      <xdr:spPr bwMode="auto">
        <a:xfrm>
          <a:off x="2720340" y="2339340"/>
          <a:ext cx="777240" cy="88392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11</xdr:col>
      <xdr:colOff>0</xdr:colOff>
      <xdr:row>43</xdr:row>
      <xdr:rowOff>7620</xdr:rowOff>
    </xdr:from>
    <xdr:to>
      <xdr:col>11</xdr:col>
      <xdr:colOff>0</xdr:colOff>
      <xdr:row>43</xdr:row>
      <xdr:rowOff>83820</xdr:rowOff>
    </xdr:to>
    <xdr:sp macro="" textlink="">
      <xdr:nvSpPr>
        <xdr:cNvPr id="25" name="Line 10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>
          <a:spLocks noChangeShapeType="1"/>
        </xdr:cNvSpPr>
      </xdr:nvSpPr>
      <xdr:spPr bwMode="auto">
        <a:xfrm flipV="1">
          <a:off x="3886200" y="4808220"/>
          <a:ext cx="0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43</xdr:row>
      <xdr:rowOff>7620</xdr:rowOff>
    </xdr:from>
    <xdr:to>
      <xdr:col>15</xdr:col>
      <xdr:colOff>0</xdr:colOff>
      <xdr:row>43</xdr:row>
      <xdr:rowOff>99060</xdr:rowOff>
    </xdr:to>
    <xdr:sp macro="" textlink="">
      <xdr:nvSpPr>
        <xdr:cNvPr id="26" name="Line 11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>
          <a:spLocks noChangeShapeType="1"/>
        </xdr:cNvSpPr>
      </xdr:nvSpPr>
      <xdr:spPr bwMode="auto">
        <a:xfrm flipV="1">
          <a:off x="5440680" y="4808220"/>
          <a:ext cx="0" cy="91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41</xdr:row>
      <xdr:rowOff>0</xdr:rowOff>
    </xdr:from>
    <xdr:to>
      <xdr:col>13</xdr:col>
      <xdr:colOff>0</xdr:colOff>
      <xdr:row>45</xdr:row>
      <xdr:rowOff>0</xdr:rowOff>
    </xdr:to>
    <xdr:sp macro="" textlink="">
      <xdr:nvSpPr>
        <xdr:cNvPr id="27" name="Arc 12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>
          <a:spLocks/>
        </xdr:cNvSpPr>
      </xdr:nvSpPr>
      <xdr:spPr bwMode="auto">
        <a:xfrm flipH="1" flipV="1">
          <a:off x="3886200" y="4457700"/>
          <a:ext cx="777240" cy="67818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12</xdr:col>
      <xdr:colOff>723900</xdr:colOff>
      <xdr:row>41</xdr:row>
      <xdr:rowOff>0</xdr:rowOff>
    </xdr:from>
    <xdr:to>
      <xdr:col>14</xdr:col>
      <xdr:colOff>548640</xdr:colOff>
      <xdr:row>45</xdr:row>
      <xdr:rowOff>0</xdr:rowOff>
    </xdr:to>
    <xdr:sp macro="" textlink="">
      <xdr:nvSpPr>
        <xdr:cNvPr id="28" name="Arc 13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>
          <a:spLocks/>
        </xdr:cNvSpPr>
      </xdr:nvSpPr>
      <xdr:spPr bwMode="auto">
        <a:xfrm flipV="1">
          <a:off x="14257020" y="8534400"/>
          <a:ext cx="1333500" cy="73914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11</xdr:col>
      <xdr:colOff>0</xdr:colOff>
      <xdr:row>27</xdr:row>
      <xdr:rowOff>0</xdr:rowOff>
    </xdr:from>
    <xdr:to>
      <xdr:col>11</xdr:col>
      <xdr:colOff>76200</xdr:colOff>
      <xdr:row>27</xdr:row>
      <xdr:rowOff>0</xdr:rowOff>
    </xdr:to>
    <xdr:sp macro="" textlink="">
      <xdr:nvSpPr>
        <xdr:cNvPr id="29" name="Line 14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>
          <a:spLocks noChangeShapeType="1"/>
        </xdr:cNvSpPr>
      </xdr:nvSpPr>
      <xdr:spPr bwMode="auto">
        <a:xfrm flipH="1">
          <a:off x="3886200" y="2164080"/>
          <a:ext cx="762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26276</xdr:colOff>
      <xdr:row>26</xdr:row>
      <xdr:rowOff>183930</xdr:rowOff>
    </xdr:from>
    <xdr:to>
      <xdr:col>15</xdr:col>
      <xdr:colOff>0</xdr:colOff>
      <xdr:row>27</xdr:row>
      <xdr:rowOff>5254</xdr:rowOff>
    </xdr:to>
    <xdr:sp macro="" textlink="">
      <xdr:nvSpPr>
        <xdr:cNvPr id="30" name="Line 15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>
          <a:spLocks noChangeShapeType="1"/>
        </xdr:cNvSpPr>
      </xdr:nvSpPr>
      <xdr:spPr bwMode="auto">
        <a:xfrm flipV="1">
          <a:off x="13043338" y="5596758"/>
          <a:ext cx="2548759" cy="525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28</xdr:row>
      <xdr:rowOff>0</xdr:rowOff>
    </xdr:from>
    <xdr:to>
      <xdr:col>16</xdr:col>
      <xdr:colOff>0</xdr:colOff>
      <xdr:row>28</xdr:row>
      <xdr:rowOff>60960</xdr:rowOff>
    </xdr:to>
    <xdr:sp macro="" textlink="">
      <xdr:nvSpPr>
        <xdr:cNvPr id="31" name="Line 16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ShapeType="1"/>
        </xdr:cNvSpPr>
      </xdr:nvSpPr>
      <xdr:spPr bwMode="auto">
        <a:xfrm flipV="1">
          <a:off x="5760720" y="2339340"/>
          <a:ext cx="0" cy="6096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38</xdr:row>
      <xdr:rowOff>106680</xdr:rowOff>
    </xdr:from>
    <xdr:to>
      <xdr:col>16</xdr:col>
      <xdr:colOff>0</xdr:colOff>
      <xdr:row>39</xdr:row>
      <xdr:rowOff>0</xdr:rowOff>
    </xdr:to>
    <xdr:sp macro="" textlink="">
      <xdr:nvSpPr>
        <xdr:cNvPr id="32" name="Line 17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ShapeType="1"/>
        </xdr:cNvSpPr>
      </xdr:nvSpPr>
      <xdr:spPr bwMode="auto">
        <a:xfrm>
          <a:off x="5760720" y="4076700"/>
          <a:ext cx="0" cy="457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28</xdr:row>
      <xdr:rowOff>0</xdr:rowOff>
    </xdr:from>
    <xdr:to>
      <xdr:col>8</xdr:col>
      <xdr:colOff>381000</xdr:colOff>
      <xdr:row>28</xdr:row>
      <xdr:rowOff>0</xdr:rowOff>
    </xdr:to>
    <xdr:sp macro="" textlink="">
      <xdr:nvSpPr>
        <xdr:cNvPr id="33" name="Line 18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ShapeType="1"/>
        </xdr:cNvSpPr>
      </xdr:nvSpPr>
      <xdr:spPr bwMode="auto">
        <a:xfrm>
          <a:off x="2720340" y="2339340"/>
          <a:ext cx="381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39</xdr:row>
      <xdr:rowOff>0</xdr:rowOff>
    </xdr:from>
    <xdr:to>
      <xdr:col>9</xdr:col>
      <xdr:colOff>15240</xdr:colOff>
      <xdr:row>39</xdr:row>
      <xdr:rowOff>0</xdr:rowOff>
    </xdr:to>
    <xdr:sp macro="" textlink="">
      <xdr:nvSpPr>
        <xdr:cNvPr id="34" name="Line 19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ShapeType="1"/>
        </xdr:cNvSpPr>
      </xdr:nvSpPr>
      <xdr:spPr bwMode="auto">
        <a:xfrm>
          <a:off x="11369040" y="7802880"/>
          <a:ext cx="2438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41</xdr:row>
      <xdr:rowOff>24245</xdr:rowOff>
    </xdr:from>
    <xdr:to>
      <xdr:col>11</xdr:col>
      <xdr:colOff>0</xdr:colOff>
      <xdr:row>43</xdr:row>
      <xdr:rowOff>1385</xdr:rowOff>
    </xdr:to>
    <xdr:sp macro="" textlink="">
      <xdr:nvSpPr>
        <xdr:cNvPr id="35" name="Line 20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>
          <a:spLocks noChangeShapeType="1"/>
        </xdr:cNvSpPr>
      </xdr:nvSpPr>
      <xdr:spPr bwMode="auto">
        <a:xfrm flipV="1">
          <a:off x="13019809" y="8575963"/>
          <a:ext cx="0" cy="3512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43</xdr:row>
      <xdr:rowOff>7620</xdr:rowOff>
    </xdr:from>
    <xdr:to>
      <xdr:col>15</xdr:col>
      <xdr:colOff>0</xdr:colOff>
      <xdr:row>43</xdr:row>
      <xdr:rowOff>99060</xdr:rowOff>
    </xdr:to>
    <xdr:sp macro="" textlink="">
      <xdr:nvSpPr>
        <xdr:cNvPr id="37" name="Line 11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>
          <a:spLocks noChangeShapeType="1"/>
        </xdr:cNvSpPr>
      </xdr:nvSpPr>
      <xdr:spPr bwMode="auto">
        <a:xfrm flipV="1">
          <a:off x="5440680" y="4808220"/>
          <a:ext cx="0" cy="91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41</xdr:row>
      <xdr:rowOff>0</xdr:rowOff>
    </xdr:from>
    <xdr:to>
      <xdr:col>13</xdr:col>
      <xdr:colOff>0</xdr:colOff>
      <xdr:row>45</xdr:row>
      <xdr:rowOff>0</xdr:rowOff>
    </xdr:to>
    <xdr:sp macro="" textlink="">
      <xdr:nvSpPr>
        <xdr:cNvPr id="38" name="Arc 12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>
          <a:spLocks/>
        </xdr:cNvSpPr>
      </xdr:nvSpPr>
      <xdr:spPr bwMode="auto">
        <a:xfrm flipH="1" flipV="1">
          <a:off x="3886200" y="4457700"/>
          <a:ext cx="777240" cy="67818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14</xdr:col>
      <xdr:colOff>554182</xdr:colOff>
      <xdr:row>41</xdr:row>
      <xdr:rowOff>3464</xdr:rowOff>
    </xdr:from>
    <xdr:to>
      <xdr:col>15</xdr:col>
      <xdr:colOff>1385</xdr:colOff>
      <xdr:row>43</xdr:row>
      <xdr:rowOff>10391</xdr:rowOff>
    </xdr:to>
    <xdr:sp macro="" textlink="">
      <xdr:nvSpPr>
        <xdr:cNvPr id="40" name="Line 21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>
          <a:spLocks noChangeShapeType="1"/>
        </xdr:cNvSpPr>
      </xdr:nvSpPr>
      <xdr:spPr bwMode="auto">
        <a:xfrm flipH="1" flipV="1">
          <a:off x="15589827" y="8555182"/>
          <a:ext cx="4849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5754</xdr:colOff>
      <xdr:row>28</xdr:row>
      <xdr:rowOff>7147</xdr:rowOff>
    </xdr:from>
    <xdr:to>
      <xdr:col>9</xdr:col>
      <xdr:colOff>9525</xdr:colOff>
      <xdr:row>39</xdr:row>
      <xdr:rowOff>14287</xdr:rowOff>
    </xdr:to>
    <xdr:sp macro="" textlink="">
      <xdr:nvSpPr>
        <xdr:cNvPr id="42" name="Line 2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>
          <a:spLocks noChangeShapeType="1"/>
        </xdr:cNvSpPr>
      </xdr:nvSpPr>
      <xdr:spPr bwMode="auto">
        <a:xfrm flipH="1" flipV="1">
          <a:off x="11602442" y="5760247"/>
          <a:ext cx="3771" cy="200739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28</xdr:row>
      <xdr:rowOff>68579</xdr:rowOff>
    </xdr:from>
    <xdr:to>
      <xdr:col>16</xdr:col>
      <xdr:colOff>0</xdr:colOff>
      <xdr:row>38</xdr:row>
      <xdr:rowOff>120868</xdr:rowOff>
    </xdr:to>
    <xdr:sp macro="" textlink="">
      <xdr:nvSpPr>
        <xdr:cNvPr id="43" name="Line 21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>
          <a:spLocks noChangeShapeType="1"/>
        </xdr:cNvSpPr>
      </xdr:nvSpPr>
      <xdr:spPr bwMode="auto">
        <a:xfrm flipH="1" flipV="1">
          <a:off x="16711448" y="5854524"/>
          <a:ext cx="0" cy="189159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fr-FR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345141</xdr:colOff>
      <xdr:row>1</xdr:row>
      <xdr:rowOff>109369</xdr:rowOff>
    </xdr:from>
    <xdr:to>
      <xdr:col>1</xdr:col>
      <xdr:colOff>160916</xdr:colOff>
      <xdr:row>3</xdr:row>
      <xdr:rowOff>238909</xdr:rowOff>
    </xdr:to>
    <xdr:pic>
      <xdr:nvPicPr>
        <xdr:cNvPr id="2" name="Picture 1" descr="C:\Users\Majdi\Downloads\logo-esprit--new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5141" y="292249"/>
          <a:ext cx="1888415" cy="74676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5</xdr:col>
      <xdr:colOff>81608</xdr:colOff>
      <xdr:row>4</xdr:row>
      <xdr:rowOff>8966</xdr:rowOff>
    </xdr:from>
    <xdr:to>
      <xdr:col>7</xdr:col>
      <xdr:colOff>292697</xdr:colOff>
      <xdr:row>15</xdr:row>
      <xdr:rowOff>23648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4608" y="1113866"/>
          <a:ext cx="2039889" cy="2064462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</xdr:col>
      <xdr:colOff>297180</xdr:colOff>
      <xdr:row>5</xdr:row>
      <xdr:rowOff>68579</xdr:rowOff>
    </xdr:from>
    <xdr:to>
      <xdr:col>2</xdr:col>
      <xdr:colOff>1159585</xdr:colOff>
      <xdr:row>15</xdr:row>
      <xdr:rowOff>66178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9820" y="1363979"/>
          <a:ext cx="2912185" cy="1856879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  <xdr:twoCellAnchor editAs="oneCell">
    <xdr:from>
      <xdr:col>9</xdr:col>
      <xdr:colOff>860613</xdr:colOff>
      <xdr:row>4</xdr:row>
      <xdr:rowOff>35861</xdr:rowOff>
    </xdr:from>
    <xdr:to>
      <xdr:col>13</xdr:col>
      <xdr:colOff>20172</xdr:colOff>
      <xdr:row>15</xdr:row>
      <xdr:rowOff>44826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29653" y="1140761"/>
          <a:ext cx="2055159" cy="2058745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9</xdr:col>
      <xdr:colOff>0</xdr:colOff>
      <xdr:row>40</xdr:row>
      <xdr:rowOff>0</xdr:rowOff>
    </xdr:from>
    <xdr:to>
      <xdr:col>9</xdr:col>
      <xdr:colOff>0</xdr:colOff>
      <xdr:row>40</xdr:row>
      <xdr:rowOff>7620</xdr:rowOff>
    </xdr:to>
    <xdr:sp macro="" textlink="">
      <xdr:nvSpPr>
        <xdr:cNvPr id="6" name="Arc 9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/>
        </xdr:cNvSpPr>
      </xdr:nvSpPr>
      <xdr:spPr bwMode="auto">
        <a:xfrm>
          <a:off x="11597640" y="8046720"/>
          <a:ext cx="0" cy="762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0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0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28</xdr:row>
      <xdr:rowOff>0</xdr:rowOff>
    </xdr:from>
    <xdr:to>
      <xdr:col>9</xdr:col>
      <xdr:colOff>68580</xdr:colOff>
      <xdr:row>28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ShapeType="1"/>
        </xdr:cNvSpPr>
      </xdr:nvSpPr>
      <xdr:spPr bwMode="auto">
        <a:xfrm flipH="1">
          <a:off x="11597640" y="5783580"/>
          <a:ext cx="6858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39</xdr:row>
      <xdr:rowOff>7620</xdr:rowOff>
    </xdr:from>
    <xdr:to>
      <xdr:col>9</xdr:col>
      <xdr:colOff>83820</xdr:colOff>
      <xdr:row>39</xdr:row>
      <xdr:rowOff>7620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ShapeType="1"/>
        </xdr:cNvSpPr>
      </xdr:nvSpPr>
      <xdr:spPr bwMode="auto">
        <a:xfrm flipH="1">
          <a:off x="11597640" y="7863840"/>
          <a:ext cx="8382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</xdr:row>
      <xdr:rowOff>68580</xdr:rowOff>
    </xdr:from>
    <xdr:to>
      <xdr:col>10</xdr:col>
      <xdr:colOff>0</xdr:colOff>
      <xdr:row>39</xdr:row>
      <xdr:rowOff>0</xdr:rowOff>
    </xdr:to>
    <xdr:sp macro="" textlink="">
      <xdr:nvSpPr>
        <xdr:cNvPr id="9" name="Arc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/>
        </xdr:cNvSpPr>
      </xdr:nvSpPr>
      <xdr:spPr bwMode="auto">
        <a:xfrm flipV="1">
          <a:off x="11353800" y="6789420"/>
          <a:ext cx="876300" cy="106680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28</xdr:row>
      <xdr:rowOff>0</xdr:rowOff>
    </xdr:from>
    <xdr:to>
      <xdr:col>10</xdr:col>
      <xdr:colOff>0</xdr:colOff>
      <xdr:row>33</xdr:row>
      <xdr:rowOff>76200</xdr:rowOff>
    </xdr:to>
    <xdr:sp macro="" textlink="">
      <xdr:nvSpPr>
        <xdr:cNvPr id="10" name="Arc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/>
        </xdr:cNvSpPr>
      </xdr:nvSpPr>
      <xdr:spPr bwMode="auto">
        <a:xfrm>
          <a:off x="11353800" y="5783580"/>
          <a:ext cx="876300" cy="101346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11</xdr:col>
      <xdr:colOff>0</xdr:colOff>
      <xdr:row>43</xdr:row>
      <xdr:rowOff>7620</xdr:rowOff>
    </xdr:from>
    <xdr:to>
      <xdr:col>11</xdr:col>
      <xdr:colOff>0</xdr:colOff>
      <xdr:row>43</xdr:row>
      <xdr:rowOff>83820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ShapeType="1"/>
        </xdr:cNvSpPr>
      </xdr:nvSpPr>
      <xdr:spPr bwMode="auto">
        <a:xfrm flipV="1">
          <a:off x="13022580" y="8618220"/>
          <a:ext cx="0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43</xdr:row>
      <xdr:rowOff>7620</xdr:rowOff>
    </xdr:from>
    <xdr:to>
      <xdr:col>15</xdr:col>
      <xdr:colOff>0</xdr:colOff>
      <xdr:row>43</xdr:row>
      <xdr:rowOff>99060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ShapeType="1"/>
        </xdr:cNvSpPr>
      </xdr:nvSpPr>
      <xdr:spPr bwMode="auto">
        <a:xfrm flipV="1">
          <a:off x="15598140" y="8618220"/>
          <a:ext cx="0" cy="91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41</xdr:row>
      <xdr:rowOff>0</xdr:rowOff>
    </xdr:from>
    <xdr:to>
      <xdr:col>13</xdr:col>
      <xdr:colOff>0</xdr:colOff>
      <xdr:row>45</xdr:row>
      <xdr:rowOff>0</xdr:rowOff>
    </xdr:to>
    <xdr:sp macro="" textlink="">
      <xdr:nvSpPr>
        <xdr:cNvPr id="13" name="Arc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/>
        </xdr:cNvSpPr>
      </xdr:nvSpPr>
      <xdr:spPr bwMode="auto">
        <a:xfrm flipH="1" flipV="1">
          <a:off x="13022580" y="8237220"/>
          <a:ext cx="1242060" cy="74676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12</xdr:col>
      <xdr:colOff>723900</xdr:colOff>
      <xdr:row>41</xdr:row>
      <xdr:rowOff>0</xdr:rowOff>
    </xdr:from>
    <xdr:to>
      <xdr:col>14</xdr:col>
      <xdr:colOff>548640</xdr:colOff>
      <xdr:row>45</xdr:row>
      <xdr:rowOff>0</xdr:rowOff>
    </xdr:to>
    <xdr:sp macro="" textlink="">
      <xdr:nvSpPr>
        <xdr:cNvPr id="14" name="Arc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/>
        </xdr:cNvSpPr>
      </xdr:nvSpPr>
      <xdr:spPr bwMode="auto">
        <a:xfrm flipV="1">
          <a:off x="14257020" y="8237220"/>
          <a:ext cx="1333500" cy="74676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11</xdr:col>
      <xdr:colOff>0</xdr:colOff>
      <xdr:row>27</xdr:row>
      <xdr:rowOff>0</xdr:rowOff>
    </xdr:from>
    <xdr:to>
      <xdr:col>11</xdr:col>
      <xdr:colOff>76200</xdr:colOff>
      <xdr:row>27</xdr:row>
      <xdr:rowOff>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ShapeType="1"/>
        </xdr:cNvSpPr>
      </xdr:nvSpPr>
      <xdr:spPr bwMode="auto">
        <a:xfrm flipH="1">
          <a:off x="13022580" y="5593080"/>
          <a:ext cx="762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26276</xdr:colOff>
      <xdr:row>26</xdr:row>
      <xdr:rowOff>183930</xdr:rowOff>
    </xdr:from>
    <xdr:to>
      <xdr:col>15</xdr:col>
      <xdr:colOff>0</xdr:colOff>
      <xdr:row>27</xdr:row>
      <xdr:rowOff>5254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ShapeType="1"/>
        </xdr:cNvSpPr>
      </xdr:nvSpPr>
      <xdr:spPr bwMode="auto">
        <a:xfrm flipV="1">
          <a:off x="13048856" y="5594130"/>
          <a:ext cx="2549284" cy="420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28</xdr:row>
      <xdr:rowOff>0</xdr:rowOff>
    </xdr:from>
    <xdr:to>
      <xdr:col>16</xdr:col>
      <xdr:colOff>0</xdr:colOff>
      <xdr:row>28</xdr:row>
      <xdr:rowOff>60960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ShapeType="1"/>
        </xdr:cNvSpPr>
      </xdr:nvSpPr>
      <xdr:spPr bwMode="auto">
        <a:xfrm flipV="1">
          <a:off x="16718280" y="5783580"/>
          <a:ext cx="0" cy="6096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38</xdr:row>
      <xdr:rowOff>106680</xdr:rowOff>
    </xdr:from>
    <xdr:to>
      <xdr:col>16</xdr:col>
      <xdr:colOff>0</xdr:colOff>
      <xdr:row>39</xdr:row>
      <xdr:rowOff>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ShapeType="1"/>
        </xdr:cNvSpPr>
      </xdr:nvSpPr>
      <xdr:spPr bwMode="auto">
        <a:xfrm>
          <a:off x="16718280" y="7772400"/>
          <a:ext cx="0" cy="838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28</xdr:row>
      <xdr:rowOff>0</xdr:rowOff>
    </xdr:from>
    <xdr:to>
      <xdr:col>8</xdr:col>
      <xdr:colOff>381000</xdr:colOff>
      <xdr:row>28</xdr:row>
      <xdr:rowOff>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ShapeType="1"/>
        </xdr:cNvSpPr>
      </xdr:nvSpPr>
      <xdr:spPr bwMode="auto">
        <a:xfrm>
          <a:off x="11353800" y="5783580"/>
          <a:ext cx="2438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39</xdr:row>
      <xdr:rowOff>0</xdr:rowOff>
    </xdr:from>
    <xdr:to>
      <xdr:col>9</xdr:col>
      <xdr:colOff>15240</xdr:colOff>
      <xdr:row>39</xdr:row>
      <xdr:rowOff>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ShapeType="1"/>
        </xdr:cNvSpPr>
      </xdr:nvSpPr>
      <xdr:spPr bwMode="auto">
        <a:xfrm>
          <a:off x="11369040" y="7856220"/>
          <a:ext cx="2438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41</xdr:row>
      <xdr:rowOff>24245</xdr:rowOff>
    </xdr:from>
    <xdr:to>
      <xdr:col>11</xdr:col>
      <xdr:colOff>0</xdr:colOff>
      <xdr:row>43</xdr:row>
      <xdr:rowOff>1385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ShapeType="1"/>
        </xdr:cNvSpPr>
      </xdr:nvSpPr>
      <xdr:spPr bwMode="auto">
        <a:xfrm flipV="1">
          <a:off x="13022580" y="8261465"/>
          <a:ext cx="0" cy="350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43</xdr:row>
      <xdr:rowOff>7620</xdr:rowOff>
    </xdr:from>
    <xdr:to>
      <xdr:col>15</xdr:col>
      <xdr:colOff>0</xdr:colOff>
      <xdr:row>43</xdr:row>
      <xdr:rowOff>99060</xdr:rowOff>
    </xdr:to>
    <xdr:sp macro="" textlink="">
      <xdr:nvSpPr>
        <xdr:cNvPr id="22" name="Line 1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ShapeType="1"/>
        </xdr:cNvSpPr>
      </xdr:nvSpPr>
      <xdr:spPr bwMode="auto">
        <a:xfrm flipV="1">
          <a:off x="15598140" y="8618220"/>
          <a:ext cx="0" cy="91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41</xdr:row>
      <xdr:rowOff>0</xdr:rowOff>
    </xdr:from>
    <xdr:to>
      <xdr:col>13</xdr:col>
      <xdr:colOff>0</xdr:colOff>
      <xdr:row>45</xdr:row>
      <xdr:rowOff>0</xdr:rowOff>
    </xdr:to>
    <xdr:sp macro="" textlink="">
      <xdr:nvSpPr>
        <xdr:cNvPr id="23" name="Arc 1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/>
        </xdr:cNvSpPr>
      </xdr:nvSpPr>
      <xdr:spPr bwMode="auto">
        <a:xfrm flipH="1" flipV="1">
          <a:off x="13022580" y="8237220"/>
          <a:ext cx="1242060" cy="74676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14</xdr:col>
      <xdr:colOff>554182</xdr:colOff>
      <xdr:row>41</xdr:row>
      <xdr:rowOff>3464</xdr:rowOff>
    </xdr:from>
    <xdr:to>
      <xdr:col>15</xdr:col>
      <xdr:colOff>1385</xdr:colOff>
      <xdr:row>43</xdr:row>
      <xdr:rowOff>10391</xdr:rowOff>
    </xdr:to>
    <xdr:sp macro="" textlink="">
      <xdr:nvSpPr>
        <xdr:cNvPr id="24" name="Line 21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ShapeType="1"/>
        </xdr:cNvSpPr>
      </xdr:nvSpPr>
      <xdr:spPr bwMode="auto">
        <a:xfrm flipH="1" flipV="1">
          <a:off x="15596062" y="8240684"/>
          <a:ext cx="3463" cy="38030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5754</xdr:colOff>
      <xdr:row>28</xdr:row>
      <xdr:rowOff>7147</xdr:rowOff>
    </xdr:from>
    <xdr:to>
      <xdr:col>9</xdr:col>
      <xdr:colOff>9525</xdr:colOff>
      <xdr:row>39</xdr:row>
      <xdr:rowOff>14287</xdr:rowOff>
    </xdr:to>
    <xdr:sp macro="" textlink="">
      <xdr:nvSpPr>
        <xdr:cNvPr id="25" name="Line 21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ShapeType="1"/>
        </xdr:cNvSpPr>
      </xdr:nvSpPr>
      <xdr:spPr bwMode="auto">
        <a:xfrm flipH="1" flipV="1">
          <a:off x="11603394" y="5790727"/>
          <a:ext cx="3771" cy="20797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28</xdr:row>
      <xdr:rowOff>68579</xdr:rowOff>
    </xdr:from>
    <xdr:to>
      <xdr:col>16</xdr:col>
      <xdr:colOff>0</xdr:colOff>
      <xdr:row>38</xdr:row>
      <xdr:rowOff>120868</xdr:rowOff>
    </xdr:to>
    <xdr:sp macro="" textlink="">
      <xdr:nvSpPr>
        <xdr:cNvPr id="26" name="Line 21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ShapeType="1"/>
        </xdr:cNvSpPr>
      </xdr:nvSpPr>
      <xdr:spPr bwMode="auto">
        <a:xfrm flipH="1" flipV="1">
          <a:off x="16718280" y="5852159"/>
          <a:ext cx="0" cy="193442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fr-FR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134" displayName="Tableau134" ref="B3:D7" totalsRowShown="0" headerRowDxfId="25" dataDxfId="24">
  <autoFilter ref="B3:D7" xr:uid="{00000000-0009-0000-0100-000003000000}"/>
  <tableColumns count="3">
    <tableColumn id="1" xr3:uid="{00000000-0010-0000-0000-000001000000}" name="User" dataDxfId="23"/>
    <tableColumn id="2" xr3:uid="{00000000-0010-0000-0000-000002000000}" name="Password" dataDxfId="22"/>
    <tableColumn id="3" xr3:uid="{00000000-0010-0000-0000-000003000000}" name="Rôle" dataDxfId="21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a:spPr>
      <a:bodyPr vertOverflow="clip" horzOverflow="clip" rtlCol="0" anchor="t"/>
      <a:lstStyle>
        <a:defPPr algn="l">
          <a:defRPr sz="1100"/>
        </a:defPPr>
      </a:lstStyle>
      <a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C3:X20"/>
  <sheetViews>
    <sheetView tabSelected="1" zoomScaleNormal="100" workbookViewId="0">
      <selection activeCell="N21" sqref="N21"/>
    </sheetView>
  </sheetViews>
  <sheetFormatPr defaultColWidth="11.5546875" defaultRowHeight="14.4"/>
  <cols>
    <col min="1" max="1" width="11.109375" style="5" customWidth="1"/>
    <col min="2" max="2" width="11.5546875" style="5"/>
    <col min="3" max="3" width="7.88671875" style="5" customWidth="1"/>
    <col min="4" max="4" width="14.33203125" style="5" customWidth="1"/>
    <col min="5" max="5" width="16.21875" style="5" customWidth="1"/>
    <col min="6" max="6" width="4.77734375" style="5" customWidth="1"/>
    <col min="7" max="7" width="25.88671875" style="5" customWidth="1"/>
    <col min="8" max="16" width="11.5546875" style="5"/>
    <col min="17" max="17" width="20.88671875" style="5" customWidth="1"/>
    <col min="18" max="20" width="11.5546875" style="5"/>
    <col min="21" max="21" width="15.5546875" style="5" bestFit="1" customWidth="1"/>
    <col min="22" max="16384" width="11.5546875" style="5"/>
  </cols>
  <sheetData>
    <row r="3" spans="3:24" ht="14.4" customHeight="1">
      <c r="E3" s="187" t="s">
        <v>136</v>
      </c>
      <c r="F3" s="187"/>
      <c r="G3" s="187"/>
      <c r="H3" s="187"/>
      <c r="I3" s="187"/>
      <c r="J3" s="187"/>
      <c r="K3" s="187"/>
      <c r="L3" s="187"/>
      <c r="M3" s="187"/>
      <c r="N3" s="86"/>
    </row>
    <row r="4" spans="3:24" ht="14.4" customHeight="1">
      <c r="E4" s="187"/>
      <c r="F4" s="187"/>
      <c r="G4" s="187"/>
      <c r="H4" s="187"/>
      <c r="I4" s="187"/>
      <c r="J4" s="187"/>
      <c r="K4" s="187"/>
      <c r="L4" s="187"/>
      <c r="M4" s="187"/>
      <c r="N4" s="86"/>
    </row>
    <row r="5" spans="3:24" ht="14.4" customHeight="1">
      <c r="E5" s="187"/>
      <c r="F5" s="187"/>
      <c r="G5" s="187"/>
      <c r="H5" s="187"/>
      <c r="I5" s="187"/>
      <c r="J5" s="187"/>
      <c r="K5" s="187"/>
      <c r="L5" s="187"/>
      <c r="M5" s="187"/>
      <c r="N5" s="86"/>
    </row>
    <row r="6" spans="3:24" ht="14.4" customHeight="1">
      <c r="E6" s="187"/>
      <c r="F6" s="187"/>
      <c r="G6" s="187"/>
      <c r="H6" s="187"/>
      <c r="I6" s="187"/>
      <c r="J6" s="187"/>
      <c r="K6" s="187"/>
      <c r="L6" s="187"/>
      <c r="M6" s="187"/>
      <c r="N6" s="86"/>
    </row>
    <row r="7" spans="3:24" ht="14.4" customHeight="1">
      <c r="E7" s="187"/>
      <c r="F7" s="187"/>
      <c r="G7" s="187"/>
      <c r="H7" s="187"/>
      <c r="I7" s="187"/>
      <c r="J7" s="187"/>
      <c r="K7" s="187"/>
      <c r="L7" s="187"/>
      <c r="M7" s="187"/>
      <c r="N7" s="86"/>
    </row>
    <row r="8" spans="3:24" ht="14.4" customHeight="1">
      <c r="E8" s="86"/>
      <c r="F8" s="86"/>
      <c r="G8" s="86"/>
      <c r="H8" s="86"/>
      <c r="I8" s="86"/>
      <c r="J8" s="86"/>
      <c r="K8" s="86"/>
      <c r="L8" s="86"/>
      <c r="M8" s="86"/>
      <c r="N8" s="86"/>
    </row>
    <row r="9" spans="3:24" ht="14.4" customHeight="1">
      <c r="C9" s="10"/>
    </row>
    <row r="10" spans="3:24" ht="18" customHeight="1">
      <c r="C10" s="10"/>
      <c r="D10" s="8"/>
    </row>
    <row r="11" spans="3:24" ht="18" customHeight="1">
      <c r="C11" s="10"/>
      <c r="D11" s="8"/>
      <c r="G11" s="10"/>
      <c r="P11" s="11"/>
    </row>
    <row r="12" spans="3:24" ht="14.4" customHeight="1">
      <c r="C12" s="10"/>
      <c r="D12" s="8"/>
    </row>
    <row r="13" spans="3:24" ht="9.6" customHeight="1">
      <c r="G13" s="10"/>
    </row>
    <row r="14" spans="3:24" ht="6" customHeight="1"/>
    <row r="15" spans="3:24" ht="12.6" hidden="1" customHeight="1">
      <c r="G15" s="10"/>
    </row>
    <row r="16" spans="3:24" ht="14.4" customHeight="1">
      <c r="G16" s="10"/>
      <c r="U16" s="84" t="s">
        <v>132</v>
      </c>
      <c r="V16" s="84" t="s">
        <v>133</v>
      </c>
      <c r="W16" s="84" t="s">
        <v>134</v>
      </c>
      <c r="X16" s="84" t="s">
        <v>135</v>
      </c>
    </row>
    <row r="17" spans="7:24" ht="14.4" customHeight="1">
      <c r="G17" s="10"/>
      <c r="U17" s="85">
        <f ca="1">NOW()</f>
        <v>44069.584035648149</v>
      </c>
      <c r="V17" s="84">
        <v>17</v>
      </c>
      <c r="W17" s="84">
        <v>46</v>
      </c>
      <c r="X17" s="84">
        <v>8</v>
      </c>
    </row>
    <row r="18" spans="7:24" ht="14.4" customHeight="1">
      <c r="G18" s="9"/>
      <c r="U18" s="84"/>
      <c r="V18" s="84">
        <v>8</v>
      </c>
      <c r="W18" s="84">
        <v>51</v>
      </c>
      <c r="X18" s="84">
        <v>17</v>
      </c>
    </row>
    <row r="19" spans="7:24" ht="14.4" customHeight="1">
      <c r="G19" s="8"/>
      <c r="U19" s="84"/>
      <c r="V19" s="84">
        <v>4</v>
      </c>
      <c r="W19" s="84">
        <v>9</v>
      </c>
      <c r="X19" s="84">
        <v>43</v>
      </c>
    </row>
    <row r="20" spans="7:24">
      <c r="U20" s="84"/>
      <c r="V20" s="84">
        <v>12</v>
      </c>
      <c r="W20" s="84">
        <v>60</v>
      </c>
      <c r="X20" s="84">
        <v>60</v>
      </c>
    </row>
  </sheetData>
  <mergeCells count="1">
    <mergeCell ref="E3:M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10</xdr:col>
                <xdr:colOff>510540</xdr:colOff>
                <xdr:row>11</xdr:row>
                <xdr:rowOff>144780</xdr:rowOff>
              </from>
              <to>
                <xdr:col>12</xdr:col>
                <xdr:colOff>434340</xdr:colOff>
                <xdr:row>16</xdr:row>
                <xdr:rowOff>137160</xdr:rowOff>
              </to>
            </anchor>
          </controlPr>
        </control>
      </mc:Choice>
      <mc:Fallback>
        <control shapeId="3075" r:id="rId4" name="CommandButton1"/>
      </mc:Fallback>
    </mc:AlternateContent>
    <mc:AlternateContent xmlns:mc="http://schemas.openxmlformats.org/markup-compatibility/2006">
      <mc:Choice Requires="x14">
        <control shapeId="3074" r:id="rId6" name="Text_Pass">
          <controlPr defaultSize="0" autoLine="0" r:id="rId7">
            <anchor moveWithCells="1">
              <from>
                <xdr:col>7</xdr:col>
                <xdr:colOff>15240</xdr:colOff>
                <xdr:row>15</xdr:row>
                <xdr:rowOff>0</xdr:rowOff>
              </from>
              <to>
                <xdr:col>10</xdr:col>
                <xdr:colOff>137160</xdr:colOff>
                <xdr:row>18</xdr:row>
                <xdr:rowOff>7620</xdr:rowOff>
              </to>
            </anchor>
          </controlPr>
        </control>
      </mc:Choice>
      <mc:Fallback>
        <control shapeId="3074" r:id="rId6" name="Text_Pass"/>
      </mc:Fallback>
    </mc:AlternateContent>
    <mc:AlternateContent xmlns:mc="http://schemas.openxmlformats.org/markup-compatibility/2006">
      <mc:Choice Requires="x14">
        <control shapeId="3073" r:id="rId8" name="Text_User">
          <controlPr defaultSize="0" autoLine="0" r:id="rId9">
            <anchor moveWithCells="1">
              <from>
                <xdr:col>7</xdr:col>
                <xdr:colOff>7620</xdr:colOff>
                <xdr:row>10</xdr:row>
                <xdr:rowOff>7620</xdr:rowOff>
              </from>
              <to>
                <xdr:col>10</xdr:col>
                <xdr:colOff>129540</xdr:colOff>
                <xdr:row>13</xdr:row>
                <xdr:rowOff>30480</xdr:rowOff>
              </to>
            </anchor>
          </controlPr>
        </control>
      </mc:Choice>
      <mc:Fallback>
        <control shapeId="3073" r:id="rId8" name="Text_Us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B3:H18"/>
  <sheetViews>
    <sheetView workbookViewId="0">
      <selection activeCell="B11" sqref="B11"/>
    </sheetView>
  </sheetViews>
  <sheetFormatPr defaultColWidth="11.5546875" defaultRowHeight="14.4"/>
  <cols>
    <col min="1" max="1" width="11.5546875" style="5"/>
    <col min="2" max="2" width="27.77734375" style="5" customWidth="1"/>
    <col min="3" max="3" width="13.21875" style="5" customWidth="1"/>
    <col min="4" max="5" width="11.5546875" style="5"/>
    <col min="6" max="6" width="25.88671875" style="5" customWidth="1"/>
    <col min="7" max="7" width="14.33203125" style="5" customWidth="1"/>
    <col min="8" max="16384" width="11.5546875" style="5"/>
  </cols>
  <sheetData>
    <row r="3" spans="2:8">
      <c r="B3" s="6" t="s">
        <v>4</v>
      </c>
      <c r="C3" s="6" t="s">
        <v>6</v>
      </c>
      <c r="D3" s="6" t="s">
        <v>5</v>
      </c>
    </row>
    <row r="4" spans="2:8">
      <c r="B4" s="7" t="s">
        <v>99</v>
      </c>
      <c r="C4" s="7">
        <v>28134907</v>
      </c>
      <c r="D4" s="7" t="s">
        <v>7</v>
      </c>
    </row>
    <row r="5" spans="2:8">
      <c r="B5" s="7" t="s">
        <v>100</v>
      </c>
      <c r="C5" s="7">
        <v>99435739</v>
      </c>
      <c r="D5" s="7" t="s">
        <v>4</v>
      </c>
      <c r="F5" s="6"/>
      <c r="G5" s="6"/>
      <c r="H5" s="6"/>
    </row>
    <row r="6" spans="2:8">
      <c r="B6" s="7" t="s">
        <v>137</v>
      </c>
      <c r="C6" s="7" t="s">
        <v>113</v>
      </c>
      <c r="D6" s="7" t="s">
        <v>4</v>
      </c>
      <c r="F6" s="7"/>
      <c r="G6" s="7"/>
      <c r="H6" s="7"/>
    </row>
    <row r="7" spans="2:8">
      <c r="B7" s="87" t="s">
        <v>8</v>
      </c>
      <c r="C7" s="87">
        <v>90185579</v>
      </c>
      <c r="D7" s="87" t="s">
        <v>4</v>
      </c>
      <c r="F7" s="7"/>
      <c r="G7" s="7"/>
      <c r="H7" s="7"/>
    </row>
    <row r="8" spans="2:8">
      <c r="F8" s="7"/>
      <c r="G8" s="7"/>
      <c r="H8" s="7"/>
    </row>
    <row r="15" spans="2:8">
      <c r="F15" s="6"/>
      <c r="G15" s="6"/>
      <c r="H15" s="6"/>
    </row>
    <row r="16" spans="2:8">
      <c r="F16" s="7"/>
      <c r="G16" s="7"/>
      <c r="H16" s="7"/>
    </row>
    <row r="17" spans="6:8">
      <c r="F17" s="7"/>
      <c r="G17" s="7"/>
      <c r="H17" s="7"/>
    </row>
    <row r="18" spans="6:8">
      <c r="F18" s="7"/>
      <c r="G18" s="7"/>
      <c r="H18" s="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O3"/>
  <sheetViews>
    <sheetView workbookViewId="0">
      <selection activeCell="D9" sqref="D9"/>
    </sheetView>
  </sheetViews>
  <sheetFormatPr defaultColWidth="11.5546875" defaultRowHeight="14.4"/>
  <cols>
    <col min="1" max="16384" width="11.5546875" style="5"/>
  </cols>
  <sheetData>
    <row r="3" spans="15:15">
      <c r="O3" s="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1</xdr:col>
                <xdr:colOff>624840</xdr:colOff>
                <xdr:row>1</xdr:row>
                <xdr:rowOff>68580</xdr:rowOff>
              </from>
              <to>
                <xdr:col>4</xdr:col>
                <xdr:colOff>182880</xdr:colOff>
                <xdr:row>5</xdr:row>
                <xdr:rowOff>91440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B2:R64"/>
  <sheetViews>
    <sheetView topLeftCell="C55" zoomScaleNormal="100" workbookViewId="0">
      <selection activeCell="D3" sqref="D3"/>
    </sheetView>
  </sheetViews>
  <sheetFormatPr defaultColWidth="11.5546875" defaultRowHeight="14.4"/>
  <cols>
    <col min="1" max="1" width="30.21875" style="1" customWidth="1"/>
    <col min="2" max="2" width="29.88671875" style="1" customWidth="1"/>
    <col min="3" max="3" width="33.5546875" style="1" customWidth="1"/>
    <col min="4" max="4" width="16.77734375" style="1" customWidth="1"/>
    <col min="5" max="5" width="17.33203125" style="1" customWidth="1"/>
    <col min="6" max="7" width="11.5546875" style="1"/>
    <col min="8" max="8" width="15.6640625" style="1" customWidth="1"/>
    <col min="9" max="9" width="11.5546875" style="1"/>
    <col min="10" max="10" width="17.44140625" style="1" customWidth="1"/>
    <col min="11" max="13" width="11.5546875" style="1"/>
    <col min="14" max="14" width="16.21875" style="1" customWidth="1"/>
    <col min="15" max="16384" width="11.5546875" style="1"/>
  </cols>
  <sheetData>
    <row r="2" spans="2:16" ht="15" thickBot="1"/>
    <row r="3" spans="2:16" ht="33.6" customHeight="1" thickBot="1">
      <c r="C3" s="59" t="s">
        <v>118</v>
      </c>
      <c r="D3" s="60">
        <v>43948</v>
      </c>
      <c r="F3" s="233" t="s">
        <v>9</v>
      </c>
      <c r="G3" s="234"/>
      <c r="H3" s="234"/>
      <c r="I3" s="234"/>
      <c r="J3" s="234"/>
      <c r="K3" s="234"/>
      <c r="L3" s="235"/>
      <c r="N3" s="223" t="s">
        <v>1</v>
      </c>
      <c r="O3" s="224"/>
      <c r="P3" s="225"/>
    </row>
    <row r="4" spans="2:16" ht="24" thickBot="1">
      <c r="H4" s="236" t="s">
        <v>0</v>
      </c>
      <c r="I4" s="237"/>
      <c r="J4" s="238"/>
      <c r="N4" s="226" t="s">
        <v>10</v>
      </c>
      <c r="O4" s="227"/>
      <c r="P4" s="228"/>
    </row>
    <row r="5" spans="2:16" ht="15" thickBot="1">
      <c r="N5" s="2"/>
      <c r="O5" s="3"/>
      <c r="P5" s="4"/>
    </row>
    <row r="6" spans="2:16" ht="16.2" thickBot="1">
      <c r="B6" s="12"/>
      <c r="D6" s="54" t="s">
        <v>107</v>
      </c>
      <c r="N6" s="229" t="s">
        <v>11</v>
      </c>
      <c r="O6" s="230"/>
      <c r="P6" s="231"/>
    </row>
    <row r="7" spans="2:16" ht="15" thickBot="1">
      <c r="B7" s="12"/>
      <c r="C7" s="12"/>
      <c r="D7" s="55" t="s">
        <v>108</v>
      </c>
    </row>
    <row r="8" spans="2:16" ht="14.4" customHeight="1" thickBot="1">
      <c r="B8" s="12"/>
      <c r="C8" s="12"/>
      <c r="D8" s="56" t="s">
        <v>109</v>
      </c>
      <c r="I8" s="232" t="s">
        <v>3</v>
      </c>
      <c r="J8" s="232"/>
    </row>
    <row r="9" spans="2:16" ht="14.4" customHeight="1" thickBot="1">
      <c r="B9" s="12"/>
      <c r="C9" s="12"/>
      <c r="D9" s="57" t="s">
        <v>110</v>
      </c>
      <c r="I9" s="232"/>
      <c r="J9" s="232"/>
    </row>
    <row r="10" spans="2:16" ht="14.4" customHeight="1" thickBot="1">
      <c r="B10" s="12"/>
      <c r="C10" s="12"/>
      <c r="D10" s="58" t="s">
        <v>111</v>
      </c>
      <c r="I10" s="232"/>
      <c r="J10" s="232"/>
    </row>
    <row r="11" spans="2:16" ht="14.4" customHeight="1">
      <c r="B11" s="12"/>
      <c r="C11" s="12"/>
      <c r="I11" s="232"/>
      <c r="J11" s="232"/>
    </row>
    <row r="12" spans="2:16" ht="14.4" customHeight="1">
      <c r="B12" s="12"/>
      <c r="C12" s="12"/>
      <c r="I12" s="232"/>
      <c r="J12" s="232"/>
    </row>
    <row r="13" spans="2:16" ht="14.4" customHeight="1">
      <c r="B13" s="12"/>
      <c r="C13" s="12"/>
      <c r="I13" s="232"/>
      <c r="J13" s="232"/>
    </row>
    <row r="14" spans="2:16">
      <c r="B14" s="12"/>
      <c r="C14" s="12"/>
    </row>
    <row r="15" spans="2:16">
      <c r="B15" s="12"/>
      <c r="C15" s="12"/>
    </row>
    <row r="16" spans="2:16" ht="15" thickBot="1">
      <c r="B16" s="12"/>
      <c r="C16" s="12"/>
    </row>
    <row r="17" spans="2:18" ht="15" thickBot="1">
      <c r="B17" s="12"/>
      <c r="C17" s="12"/>
      <c r="F17" s="218" t="s">
        <v>115</v>
      </c>
      <c r="G17" s="219"/>
      <c r="H17" s="220"/>
      <c r="K17" s="221" t="s">
        <v>8</v>
      </c>
      <c r="L17" s="222"/>
    </row>
    <row r="18" spans="2:18">
      <c r="B18" s="12"/>
      <c r="C18" s="12"/>
    </row>
    <row r="19" spans="2:18" ht="15" thickBot="1">
      <c r="B19" s="12"/>
      <c r="C19" s="12"/>
    </row>
    <row r="20" spans="2:18" ht="18.600000000000001" thickBot="1">
      <c r="B20" s="195" t="s">
        <v>106</v>
      </c>
      <c r="C20" s="196"/>
      <c r="D20" s="188" t="s">
        <v>114</v>
      </c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90"/>
    </row>
    <row r="21" spans="2:18" ht="14.4" customHeight="1"/>
    <row r="22" spans="2:18" ht="15" thickBot="1"/>
    <row r="23" spans="2:18" ht="21" thickBot="1">
      <c r="B23" s="197" t="s">
        <v>2</v>
      </c>
      <c r="C23" s="198"/>
      <c r="D23" s="198"/>
      <c r="E23" s="198"/>
      <c r="F23" s="199"/>
    </row>
    <row r="24" spans="2:18" ht="22.2" customHeight="1" thickBot="1">
      <c r="B24" s="200" t="s">
        <v>12</v>
      </c>
      <c r="C24" s="23" t="s">
        <v>13</v>
      </c>
      <c r="D24" s="33" t="s">
        <v>14</v>
      </c>
      <c r="E24" s="20">
        <v>0.27</v>
      </c>
      <c r="F24" s="50" t="s">
        <v>15</v>
      </c>
    </row>
    <row r="25" spans="2:18" ht="25.8" customHeight="1" thickBot="1">
      <c r="B25" s="201"/>
      <c r="C25" s="24" t="s">
        <v>16</v>
      </c>
      <c r="D25" s="34" t="s">
        <v>17</v>
      </c>
      <c r="E25" s="19">
        <v>0.22</v>
      </c>
      <c r="F25" s="51" t="s">
        <v>15</v>
      </c>
      <c r="I25" s="202" t="s">
        <v>18</v>
      </c>
      <c r="J25" s="203"/>
    </row>
    <row r="26" spans="2:18" ht="15" thickBot="1">
      <c r="B26" s="209" t="s">
        <v>19</v>
      </c>
      <c r="C26" s="24" t="s">
        <v>20</v>
      </c>
      <c r="D26" s="35" t="s">
        <v>21</v>
      </c>
      <c r="E26" s="19">
        <v>0.5</v>
      </c>
      <c r="F26" s="51" t="s">
        <v>22</v>
      </c>
      <c r="I26" s="211" t="s">
        <v>23</v>
      </c>
      <c r="J26" s="37">
        <v>500</v>
      </c>
      <c r="L26" s="213" t="s">
        <v>24</v>
      </c>
      <c r="M26" s="37" t="s">
        <v>25</v>
      </c>
      <c r="N26" s="37" t="s">
        <v>23</v>
      </c>
    </row>
    <row r="27" spans="2:18" ht="15" thickBot="1">
      <c r="B27" s="210"/>
      <c r="C27" s="24" t="s">
        <v>26</v>
      </c>
      <c r="D27" s="35" t="s">
        <v>27</v>
      </c>
      <c r="E27" s="19">
        <v>0.1</v>
      </c>
      <c r="F27" s="51" t="s">
        <v>22</v>
      </c>
      <c r="I27" s="212"/>
      <c r="J27" s="37">
        <v>400</v>
      </c>
      <c r="L27" s="214"/>
      <c r="M27" s="37">
        <v>1</v>
      </c>
      <c r="N27" s="37">
        <v>1.5</v>
      </c>
    </row>
    <row r="28" spans="2:18" ht="15.6" thickBot="1">
      <c r="B28" s="215" t="s">
        <v>28</v>
      </c>
      <c r="C28" s="24" t="s">
        <v>29</v>
      </c>
      <c r="D28" s="34" t="s">
        <v>30</v>
      </c>
      <c r="E28" s="19">
        <v>25</v>
      </c>
      <c r="F28" s="51" t="s">
        <v>31</v>
      </c>
      <c r="I28" s="211" t="s">
        <v>25</v>
      </c>
      <c r="J28" s="37">
        <v>215</v>
      </c>
    </row>
    <row r="29" spans="2:18" ht="15.6" thickBot="1">
      <c r="B29" s="216"/>
      <c r="C29" s="239"/>
      <c r="D29" s="34" t="s">
        <v>32</v>
      </c>
      <c r="E29" s="19">
        <v>1</v>
      </c>
      <c r="I29" s="212"/>
      <c r="J29" s="38">
        <v>235</v>
      </c>
    </row>
    <row r="30" spans="2:18" ht="15.6" thickBot="1">
      <c r="B30" s="217"/>
      <c r="C30" s="240"/>
      <c r="D30" s="34" t="s">
        <v>33</v>
      </c>
      <c r="E30" s="19">
        <v>1.5</v>
      </c>
    </row>
    <row r="31" spans="2:18" ht="15.6" thickBot="1">
      <c r="B31" s="215" t="s">
        <v>34</v>
      </c>
      <c r="C31" s="24" t="s">
        <v>35</v>
      </c>
      <c r="D31" s="34" t="s">
        <v>36</v>
      </c>
      <c r="E31" s="19">
        <v>400</v>
      </c>
      <c r="F31" s="51" t="s">
        <v>31</v>
      </c>
      <c r="K31" s="36" t="s">
        <v>37</v>
      </c>
    </row>
    <row r="32" spans="2:18" ht="15.6" thickBot="1">
      <c r="B32" s="216"/>
      <c r="C32" s="24" t="s">
        <v>38</v>
      </c>
      <c r="D32" s="34" t="s">
        <v>38</v>
      </c>
      <c r="E32" s="19">
        <v>1.1499999999999999</v>
      </c>
      <c r="I32" s="241" t="s">
        <v>39</v>
      </c>
      <c r="J32" s="242"/>
      <c r="K32" s="37">
        <v>1.2</v>
      </c>
    </row>
    <row r="33" spans="2:11" ht="15.6" thickBot="1">
      <c r="B33" s="217"/>
      <c r="C33" s="24" t="s">
        <v>40</v>
      </c>
      <c r="D33" s="34" t="s">
        <v>40</v>
      </c>
      <c r="E33" s="19">
        <v>1.5</v>
      </c>
      <c r="I33" s="241" t="s">
        <v>41</v>
      </c>
      <c r="J33" s="242"/>
      <c r="K33" s="37">
        <v>1.1000000000000001</v>
      </c>
    </row>
    <row r="34" spans="2:11" ht="15.6" thickBot="1">
      <c r="B34" s="21" t="s">
        <v>42</v>
      </c>
      <c r="C34" s="243"/>
      <c r="D34" s="34" t="s">
        <v>43</v>
      </c>
      <c r="E34" s="19">
        <v>3.1</v>
      </c>
      <c r="F34" s="51" t="s">
        <v>15</v>
      </c>
      <c r="I34" s="241" t="s">
        <v>44</v>
      </c>
      <c r="J34" s="242"/>
      <c r="K34" s="37">
        <v>1</v>
      </c>
    </row>
    <row r="35" spans="2:11" ht="15">
      <c r="B35" s="21" t="s">
        <v>45</v>
      </c>
      <c r="C35" s="244"/>
      <c r="D35" s="34" t="s">
        <v>46</v>
      </c>
      <c r="E35" s="22">
        <v>1</v>
      </c>
    </row>
    <row r="36" spans="2:11">
      <c r="B36" s="209" t="s">
        <v>47</v>
      </c>
      <c r="C36" s="25" t="s">
        <v>48</v>
      </c>
      <c r="D36" s="247" t="s">
        <v>49</v>
      </c>
      <c r="E36" s="249">
        <v>1</v>
      </c>
    </row>
    <row r="37" spans="2:11" ht="15" thickBot="1">
      <c r="B37" s="245"/>
      <c r="C37" s="25" t="s">
        <v>50</v>
      </c>
      <c r="D37" s="247"/>
      <c r="E37" s="249"/>
    </row>
    <row r="38" spans="2:11" ht="15" thickBot="1">
      <c r="B38" s="246"/>
      <c r="C38" s="26" t="s">
        <v>51</v>
      </c>
      <c r="D38" s="248"/>
      <c r="E38" s="250"/>
      <c r="I38" s="204" t="s">
        <v>52</v>
      </c>
      <c r="J38" s="205"/>
      <c r="K38" s="37">
        <v>1</v>
      </c>
    </row>
    <row r="39" spans="2:11" ht="15" thickBot="1">
      <c r="I39" s="204" t="s">
        <v>53</v>
      </c>
      <c r="J39" s="205"/>
      <c r="K39" s="37">
        <v>0.5</v>
      </c>
    </row>
    <row r="40" spans="2:11" ht="21" thickBot="1">
      <c r="B40" s="197" t="s">
        <v>54</v>
      </c>
      <c r="C40" s="206"/>
      <c r="D40" s="206"/>
      <c r="E40" s="206"/>
      <c r="F40" s="207"/>
      <c r="I40" s="204" t="s">
        <v>55</v>
      </c>
      <c r="J40" s="205"/>
      <c r="K40" s="37">
        <v>0.7</v>
      </c>
    </row>
    <row r="41" spans="2:11" ht="15" thickBot="1">
      <c r="B41" s="208" t="s">
        <v>19</v>
      </c>
      <c r="C41" s="27" t="s">
        <v>56</v>
      </c>
      <c r="D41" s="35" t="s">
        <v>57</v>
      </c>
      <c r="E41" s="48">
        <f>1.35*E26+1.5*E27</f>
        <v>0.82500000000000007</v>
      </c>
      <c r="F41" s="50" t="s">
        <v>22</v>
      </c>
      <c r="I41" s="204" t="s">
        <v>58</v>
      </c>
      <c r="J41" s="205"/>
      <c r="K41" s="37">
        <v>2</v>
      </c>
    </row>
    <row r="42" spans="2:11">
      <c r="B42" s="194"/>
      <c r="C42" s="28" t="s">
        <v>59</v>
      </c>
      <c r="D42" s="35" t="s">
        <v>60</v>
      </c>
      <c r="E42" s="48">
        <f>E26+E27</f>
        <v>0.6</v>
      </c>
      <c r="F42" s="51" t="s">
        <v>22</v>
      </c>
    </row>
    <row r="43" spans="2:11">
      <c r="B43" s="191" t="s">
        <v>28</v>
      </c>
      <c r="C43" s="29" t="s">
        <v>61</v>
      </c>
      <c r="D43" s="35" t="s">
        <v>62</v>
      </c>
      <c r="E43" s="48">
        <f>0.6+0.06*E28</f>
        <v>2.1</v>
      </c>
      <c r="F43" s="51" t="s">
        <v>31</v>
      </c>
    </row>
    <row r="44" spans="2:11">
      <c r="B44" s="192"/>
      <c r="C44" s="30" t="s">
        <v>63</v>
      </c>
      <c r="D44" s="35" t="s">
        <v>64</v>
      </c>
      <c r="E44" s="48">
        <f>(0.85*E28)/(E29*E30)</f>
        <v>14.166666666666666</v>
      </c>
      <c r="F44" s="51" t="s">
        <v>31</v>
      </c>
    </row>
    <row r="45" spans="2:11">
      <c r="B45" s="193" t="s">
        <v>65</v>
      </c>
      <c r="C45" s="28" t="s">
        <v>66</v>
      </c>
      <c r="D45" s="35" t="s">
        <v>66</v>
      </c>
      <c r="E45" s="48">
        <f>E31/E32</f>
        <v>347.82608695652175</v>
      </c>
      <c r="F45" s="51" t="s">
        <v>31</v>
      </c>
    </row>
    <row r="46" spans="2:11" ht="15" thickBot="1">
      <c r="B46" s="194"/>
      <c r="C46" s="28" t="s">
        <v>67</v>
      </c>
      <c r="D46" s="35" t="s">
        <v>67</v>
      </c>
      <c r="E46" s="48">
        <f>0.6*E33^2*E43</f>
        <v>2.835</v>
      </c>
      <c r="F46" s="52" t="s">
        <v>31</v>
      </c>
    </row>
    <row r="47" spans="2:11" ht="15" thickBot="1">
      <c r="B47" s="193" t="s">
        <v>68</v>
      </c>
      <c r="C47" s="43" t="s">
        <v>69</v>
      </c>
      <c r="D47" s="35" t="s">
        <v>70</v>
      </c>
      <c r="E47" s="48">
        <f>E34*E35</f>
        <v>3.1</v>
      </c>
      <c r="F47" s="53" t="s">
        <v>15</v>
      </c>
    </row>
    <row r="48" spans="2:11" ht="15" thickBot="1">
      <c r="B48" s="194"/>
      <c r="C48" s="43" t="s">
        <v>71</v>
      </c>
      <c r="D48" s="35" t="s">
        <v>72</v>
      </c>
      <c r="E48" s="48">
        <f>(SQRT(12)*E47)/E25</f>
        <v>48.81234094057745</v>
      </c>
      <c r="F48" s="251" t="str">
        <f>IF(AND(E48&gt;=35,E48&lt;=70),"le poteau est stable","le poteau n'est pas stable")</f>
        <v>le poteau est stable</v>
      </c>
      <c r="G48" s="252"/>
    </row>
    <row r="49" spans="2:18">
      <c r="B49" s="31" t="s">
        <v>73</v>
      </c>
      <c r="C49" s="43" t="s">
        <v>74</v>
      </c>
      <c r="D49" s="35" t="s">
        <v>74</v>
      </c>
      <c r="E49" s="48">
        <f>IF(E48&lt;=50,(1+0.2*(E48/35)^2),((0.85*E48^2)/1500))</f>
        <v>1.3890032045876202</v>
      </c>
    </row>
    <row r="50" spans="2:18">
      <c r="B50" s="31" t="s">
        <v>75</v>
      </c>
      <c r="C50" s="43" t="s">
        <v>76</v>
      </c>
      <c r="D50" s="35" t="s">
        <v>76</v>
      </c>
      <c r="E50" s="48">
        <f>(E24-0.02)*(E25-0.02)</f>
        <v>0.05</v>
      </c>
      <c r="F50" s="51" t="s">
        <v>138</v>
      </c>
    </row>
    <row r="51" spans="2:18">
      <c r="B51" s="31" t="s">
        <v>77</v>
      </c>
      <c r="C51" s="43" t="s">
        <v>78</v>
      </c>
      <c r="D51" s="35" t="s">
        <v>78</v>
      </c>
      <c r="E51" s="48">
        <f>(E29*E50*E44)/0.9</f>
        <v>0.78703703703703709</v>
      </c>
      <c r="F51" s="51" t="s">
        <v>22</v>
      </c>
    </row>
    <row r="52" spans="2:18" ht="15" thickBot="1">
      <c r="B52" s="32" t="s">
        <v>79</v>
      </c>
      <c r="C52" s="44" t="s">
        <v>80</v>
      </c>
      <c r="D52" s="35" t="s">
        <v>60</v>
      </c>
      <c r="E52" s="48">
        <f>(E36*E49*E41)-E51</f>
        <v>0.35889060674774964</v>
      </c>
      <c r="F52" s="52" t="s">
        <v>22</v>
      </c>
    </row>
    <row r="53" spans="2:18" ht="21" thickBot="1">
      <c r="B53" s="208" t="s">
        <v>81</v>
      </c>
      <c r="C53" s="44" t="s">
        <v>82</v>
      </c>
      <c r="D53" s="45">
        <f>((E52*10^4)/(0.85*E45))</f>
        <v>12.138946992938591</v>
      </c>
      <c r="E53" s="49">
        <f>IF(AND(D53&gt;=E54,D53&lt;=E55),D53,0)+IF(D53&lt;E54,E54,0)</f>
        <v>12.138946992938591</v>
      </c>
      <c r="F53" s="255" t="str">
        <f>IF(AND(D53&gt;=E54,D53&lt;=E55),"vérifié","non vérifié")</f>
        <v>vérifié</v>
      </c>
      <c r="H53" s="197" t="s">
        <v>83</v>
      </c>
      <c r="I53" s="206"/>
      <c r="J53" s="206"/>
      <c r="K53" s="206"/>
      <c r="L53" s="206"/>
      <c r="M53" s="206"/>
      <c r="N53" s="206"/>
      <c r="O53" s="206"/>
      <c r="P53" s="206"/>
      <c r="Q53" s="206"/>
      <c r="R53" s="206"/>
    </row>
    <row r="54" spans="2:18">
      <c r="B54" s="253"/>
      <c r="C54" s="258" t="s">
        <v>84</v>
      </c>
      <c r="D54" s="259"/>
      <c r="E54" s="48">
        <f>MAX((4*(E25+E24)*2),(0.2*(E25*E24)))</f>
        <v>3.92</v>
      </c>
      <c r="F54" s="256"/>
      <c r="H54" s="15" t="s">
        <v>117</v>
      </c>
      <c r="I54" s="13">
        <v>1</v>
      </c>
      <c r="J54" s="13">
        <v>2</v>
      </c>
      <c r="K54" s="13">
        <v>3</v>
      </c>
      <c r="L54" s="13">
        <v>4</v>
      </c>
      <c r="M54" s="13">
        <v>5</v>
      </c>
      <c r="N54" s="13">
        <v>6</v>
      </c>
      <c r="O54" s="13">
        <v>7</v>
      </c>
      <c r="P54" s="13">
        <v>8</v>
      </c>
      <c r="Q54" s="13">
        <v>9</v>
      </c>
      <c r="R54" s="16">
        <v>10</v>
      </c>
    </row>
    <row r="55" spans="2:18">
      <c r="B55" s="253"/>
      <c r="C55" s="258" t="s">
        <v>85</v>
      </c>
      <c r="D55" s="259"/>
      <c r="E55" s="48">
        <f>(5*(E25*100*E24*100))/100</f>
        <v>29.7</v>
      </c>
      <c r="F55" s="257"/>
      <c r="H55" s="15">
        <v>6</v>
      </c>
      <c r="I55" s="13">
        <v>0.28000000000000003</v>
      </c>
      <c r="J55" s="13">
        <v>0.56999999999999995</v>
      </c>
      <c r="K55" s="13">
        <v>0.85</v>
      </c>
      <c r="L55" s="13">
        <v>1.1299999999999999</v>
      </c>
      <c r="M55" s="13">
        <v>1.41</v>
      </c>
      <c r="N55" s="13">
        <v>1.7</v>
      </c>
      <c r="O55" s="13">
        <v>1.98</v>
      </c>
      <c r="P55" s="13">
        <v>2.2599999999999998</v>
      </c>
      <c r="Q55" s="13">
        <v>2.54</v>
      </c>
      <c r="R55" s="16">
        <v>2.54</v>
      </c>
    </row>
    <row r="56" spans="2:18">
      <c r="B56" s="253"/>
      <c r="C56" s="258" t="s">
        <v>86</v>
      </c>
      <c r="D56" s="259"/>
      <c r="E56" s="78"/>
      <c r="F56" s="51" t="s">
        <v>87</v>
      </c>
      <c r="H56" s="15">
        <v>8</v>
      </c>
      <c r="I56" s="13">
        <v>0.5</v>
      </c>
      <c r="J56" s="13">
        <v>1.01</v>
      </c>
      <c r="K56" s="13">
        <v>1.51</v>
      </c>
      <c r="L56" s="13">
        <v>2.0099999999999998</v>
      </c>
      <c r="M56" s="13">
        <v>2.5099999999999998</v>
      </c>
      <c r="N56" s="13">
        <v>3.02</v>
      </c>
      <c r="O56" s="13">
        <v>3.52</v>
      </c>
      <c r="P56" s="13">
        <v>4.0199999999999996</v>
      </c>
      <c r="Q56" s="13">
        <v>4.5199999999999996</v>
      </c>
      <c r="R56" s="16">
        <v>4.5199999999999996</v>
      </c>
    </row>
    <row r="57" spans="2:18" ht="15" thickBot="1">
      <c r="B57" s="254"/>
      <c r="C57" s="258" t="s">
        <v>116</v>
      </c>
      <c r="D57" s="259"/>
      <c r="E57" s="83"/>
      <c r="F57" s="83" t="s">
        <v>23</v>
      </c>
      <c r="G57" s="83"/>
      <c r="H57" s="15">
        <v>10</v>
      </c>
      <c r="I57" s="13">
        <v>0.79</v>
      </c>
      <c r="J57" s="13">
        <v>1.57</v>
      </c>
      <c r="K57" s="13">
        <v>2.36</v>
      </c>
      <c r="L57" s="13">
        <v>3.14</v>
      </c>
      <c r="M57" s="13">
        <v>3.93</v>
      </c>
      <c r="N57" s="13">
        <v>4.71</v>
      </c>
      <c r="O57" s="13">
        <v>5.5</v>
      </c>
      <c r="P57" s="13">
        <v>6.28</v>
      </c>
      <c r="Q57" s="13">
        <v>7.07</v>
      </c>
      <c r="R57" s="16">
        <v>7.07</v>
      </c>
    </row>
    <row r="58" spans="2:18">
      <c r="B58" s="208" t="s">
        <v>88</v>
      </c>
      <c r="C58" s="258" t="s">
        <v>89</v>
      </c>
      <c r="D58" s="259"/>
      <c r="E58" s="48">
        <v>14</v>
      </c>
      <c r="F58" s="50" t="s">
        <v>90</v>
      </c>
      <c r="H58" s="15">
        <v>12</v>
      </c>
      <c r="I58" s="13">
        <v>1.1299999999999999</v>
      </c>
      <c r="J58" s="13">
        <v>2.2599999999999998</v>
      </c>
      <c r="K58" s="13">
        <v>3.39</v>
      </c>
      <c r="L58" s="13">
        <v>4.5199999999999996</v>
      </c>
      <c r="M58" s="13">
        <v>5.65</v>
      </c>
      <c r="N58" s="13">
        <v>6.79</v>
      </c>
      <c r="O58" s="13">
        <v>7.92</v>
      </c>
      <c r="P58" s="13">
        <v>9.0500000000000007</v>
      </c>
      <c r="Q58" s="13">
        <v>10.18</v>
      </c>
      <c r="R58" s="16">
        <v>10.18</v>
      </c>
    </row>
    <row r="59" spans="2:18">
      <c r="B59" s="253"/>
      <c r="C59" s="258" t="s">
        <v>91</v>
      </c>
      <c r="D59" s="259"/>
      <c r="E59" s="48">
        <f>(IF(E58/3&lt;=6,6,0)+IF(AND(E58/3&gt;6,E58/3&lt;=8),8,0)+IF(E58/3&gt;8,10,0))</f>
        <v>6</v>
      </c>
      <c r="F59" s="16" t="str">
        <f>IF(AND(E59&gt;=E58/3,R35&lt;=12),"vérifié","non vérifié")</f>
        <v>vérifié</v>
      </c>
      <c r="H59" s="15">
        <v>14</v>
      </c>
      <c r="I59" s="13">
        <v>1.54</v>
      </c>
      <c r="J59" s="13">
        <v>3.08</v>
      </c>
      <c r="K59" s="13">
        <v>4.62</v>
      </c>
      <c r="L59" s="13">
        <v>6.16</v>
      </c>
      <c r="M59" s="13">
        <v>7.7</v>
      </c>
      <c r="N59" s="13">
        <v>9.24</v>
      </c>
      <c r="O59" s="13">
        <v>10.78</v>
      </c>
      <c r="P59" s="13">
        <v>12.32</v>
      </c>
      <c r="Q59" s="13">
        <v>13.85</v>
      </c>
      <c r="R59" s="16">
        <v>13.85</v>
      </c>
    </row>
    <row r="60" spans="2:18">
      <c r="B60" s="253"/>
      <c r="C60" s="258" t="s">
        <v>92</v>
      </c>
      <c r="D60" s="259"/>
      <c r="E60" s="48">
        <f>IF(E53&gt;E54,1.5*E58,0)+IF(E53&lt;=E54,MIN(40,E25+10,1.5*E58),0)</f>
        <v>21</v>
      </c>
      <c r="F60" s="51" t="s">
        <v>93</v>
      </c>
      <c r="H60" s="15">
        <v>16</v>
      </c>
      <c r="I60" s="13">
        <v>2.0099999999999998</v>
      </c>
      <c r="J60" s="13">
        <v>4.0199999999999996</v>
      </c>
      <c r="K60" s="13">
        <v>6.03</v>
      </c>
      <c r="L60" s="13">
        <v>8.0399999999999991</v>
      </c>
      <c r="M60" s="13">
        <v>10.5</v>
      </c>
      <c r="N60" s="13">
        <v>12.06</v>
      </c>
      <c r="O60" s="13">
        <v>14.07</v>
      </c>
      <c r="P60" s="13">
        <v>16.079999999999998</v>
      </c>
      <c r="Q60" s="13">
        <v>18.100000000000001</v>
      </c>
      <c r="R60" s="16">
        <v>18.100000000000001</v>
      </c>
    </row>
    <row r="61" spans="2:18">
      <c r="B61" s="253"/>
      <c r="C61" s="258" t="s">
        <v>94</v>
      </c>
      <c r="D61" s="259"/>
      <c r="E61" s="48">
        <f>(E58*10^-1/4)*(E31/E46)</f>
        <v>49.382716049382722</v>
      </c>
      <c r="F61" s="51" t="s">
        <v>93</v>
      </c>
      <c r="H61" s="15">
        <v>20</v>
      </c>
      <c r="I61" s="13">
        <v>3.14</v>
      </c>
      <c r="J61" s="13">
        <v>6.28</v>
      </c>
      <c r="K61" s="13">
        <v>9.42</v>
      </c>
      <c r="L61" s="13">
        <v>12.57</v>
      </c>
      <c r="M61" s="13">
        <v>15.71</v>
      </c>
      <c r="N61" s="13">
        <v>18.850000000000001</v>
      </c>
      <c r="O61" s="13">
        <v>21.99</v>
      </c>
      <c r="P61" s="13">
        <v>25.13</v>
      </c>
      <c r="Q61" s="13">
        <v>28.27</v>
      </c>
      <c r="R61" s="16">
        <v>28.27</v>
      </c>
    </row>
    <row r="62" spans="2:18" ht="15" thickBot="1">
      <c r="B62" s="254"/>
      <c r="C62" s="258" t="s">
        <v>95</v>
      </c>
      <c r="D62" s="259"/>
      <c r="E62" s="48">
        <f>0.6*E61</f>
        <v>29.629629629629633</v>
      </c>
      <c r="F62" s="52" t="s">
        <v>93</v>
      </c>
      <c r="H62" s="15">
        <v>25</v>
      </c>
      <c r="I62" s="13">
        <v>4.91</v>
      </c>
      <c r="J62" s="13">
        <v>9.82</v>
      </c>
      <c r="K62" s="13">
        <v>14.73</v>
      </c>
      <c r="L62" s="13">
        <v>19.63</v>
      </c>
      <c r="M62" s="13">
        <v>24.54</v>
      </c>
      <c r="N62" s="13">
        <v>29.45</v>
      </c>
      <c r="O62" s="13">
        <v>34.36</v>
      </c>
      <c r="P62" s="13">
        <v>39.270000000000003</v>
      </c>
      <c r="Q62" s="13">
        <v>44.18</v>
      </c>
      <c r="R62" s="16">
        <v>44.18</v>
      </c>
    </row>
    <row r="63" spans="2:18">
      <c r="B63" s="208" t="s">
        <v>96</v>
      </c>
      <c r="C63" s="258" t="s">
        <v>97</v>
      </c>
      <c r="D63" s="259"/>
      <c r="E63" s="48">
        <f>E42/(((E25*100*E24*100)+(15*E56))*10^-4)</f>
        <v>10.1010101010101</v>
      </c>
      <c r="F63" s="255" t="str">
        <f>IF(E63&lt;=E64,"vérifié","non vérifié")</f>
        <v>non vérifié</v>
      </c>
      <c r="H63" s="15">
        <v>35</v>
      </c>
      <c r="I63" s="13">
        <v>8.0399999999999991</v>
      </c>
      <c r="J63" s="13">
        <v>16.079999999999998</v>
      </c>
      <c r="K63" s="13">
        <v>24.13</v>
      </c>
      <c r="L63" s="13">
        <v>32.17</v>
      </c>
      <c r="M63" s="13">
        <v>40.21</v>
      </c>
      <c r="N63" s="13">
        <v>48.25</v>
      </c>
      <c r="O63" s="13">
        <v>56.3</v>
      </c>
      <c r="P63" s="13">
        <v>64.34</v>
      </c>
      <c r="Q63" s="13">
        <v>72.38</v>
      </c>
      <c r="R63" s="16">
        <v>72.38</v>
      </c>
    </row>
    <row r="64" spans="2:18" ht="15" thickBot="1">
      <c r="B64" s="254"/>
      <c r="C64" s="258" t="s">
        <v>98</v>
      </c>
      <c r="D64" s="259"/>
      <c r="E64" s="48">
        <f>0.3*E28</f>
        <v>7.5</v>
      </c>
      <c r="F64" s="260"/>
      <c r="H64" s="17">
        <v>40</v>
      </c>
      <c r="I64" s="14">
        <v>12.57</v>
      </c>
      <c r="J64" s="14">
        <v>25.13</v>
      </c>
      <c r="K64" s="14">
        <v>37.700000000000003</v>
      </c>
      <c r="L64" s="14">
        <v>50.27</v>
      </c>
      <c r="M64" s="14">
        <v>62.83</v>
      </c>
      <c r="N64" s="14">
        <v>75.400000000000006</v>
      </c>
      <c r="O64" s="14">
        <v>87.96</v>
      </c>
      <c r="P64" s="14">
        <v>100.53</v>
      </c>
      <c r="Q64" s="14">
        <v>113.1</v>
      </c>
      <c r="R64" s="18">
        <v>113.1</v>
      </c>
    </row>
  </sheetData>
  <sheetProtection formatCells="0" formatColumns="0" formatRows="0" insertColumns="0" insertRows="0" insertHyperlinks="0" deleteColumns="0" deleteRows="0" sort="0" autoFilter="0" pivotTables="0"/>
  <mergeCells count="54">
    <mergeCell ref="B63:B64"/>
    <mergeCell ref="C63:D63"/>
    <mergeCell ref="F63:F64"/>
    <mergeCell ref="C64:D64"/>
    <mergeCell ref="B58:B62"/>
    <mergeCell ref="C58:D58"/>
    <mergeCell ref="C59:D59"/>
    <mergeCell ref="C60:D60"/>
    <mergeCell ref="C61:D61"/>
    <mergeCell ref="C62:D62"/>
    <mergeCell ref="B47:B48"/>
    <mergeCell ref="F48:G48"/>
    <mergeCell ref="B53:B57"/>
    <mergeCell ref="F53:F55"/>
    <mergeCell ref="H53:R53"/>
    <mergeCell ref="C54:D54"/>
    <mergeCell ref="C55:D55"/>
    <mergeCell ref="C56:D56"/>
    <mergeCell ref="C57:D57"/>
    <mergeCell ref="C34:C35"/>
    <mergeCell ref="I34:J34"/>
    <mergeCell ref="B36:B38"/>
    <mergeCell ref="D36:D38"/>
    <mergeCell ref="E36:E38"/>
    <mergeCell ref="I38:J38"/>
    <mergeCell ref="I28:I29"/>
    <mergeCell ref="C29:C30"/>
    <mergeCell ref="B31:B33"/>
    <mergeCell ref="I32:J32"/>
    <mergeCell ref="I33:J33"/>
    <mergeCell ref="F17:H17"/>
    <mergeCell ref="K17:L17"/>
    <mergeCell ref="N3:P3"/>
    <mergeCell ref="N4:P4"/>
    <mergeCell ref="N6:P6"/>
    <mergeCell ref="I8:J13"/>
    <mergeCell ref="F3:L3"/>
    <mergeCell ref="H4:J4"/>
    <mergeCell ref="D20:R20"/>
    <mergeCell ref="B43:B44"/>
    <mergeCell ref="B45:B46"/>
    <mergeCell ref="B20:C20"/>
    <mergeCell ref="B23:F23"/>
    <mergeCell ref="B24:B25"/>
    <mergeCell ref="I25:J25"/>
    <mergeCell ref="I39:J39"/>
    <mergeCell ref="B40:F40"/>
    <mergeCell ref="I40:J40"/>
    <mergeCell ref="B41:B42"/>
    <mergeCell ref="I41:J41"/>
    <mergeCell ref="B26:B27"/>
    <mergeCell ref="I26:I27"/>
    <mergeCell ref="L26:L27"/>
    <mergeCell ref="B28:B30"/>
  </mergeCells>
  <conditionalFormatting sqref="B24:B38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3:F64">
    <cfRule type="cellIs" dxfId="20" priority="5" operator="equal">
      <formula>"vérifié"</formula>
    </cfRule>
    <cfRule type="containsText" dxfId="19" priority="8" operator="containsText" text="non vérifié">
      <formula>NOT(ISERROR(SEARCH("non vérifié",F63)))</formula>
    </cfRule>
    <cfRule type="containsText" dxfId="18" priority="9" operator="containsText" text="vérifié">
      <formula>NOT(ISERROR(SEARCH("vérifié",F63)))</formula>
    </cfRule>
  </conditionalFormatting>
  <conditionalFormatting sqref="F48:G48">
    <cfRule type="cellIs" dxfId="17" priority="6" operator="equal">
      <formula>"le poteau n'est pas stable"</formula>
    </cfRule>
    <cfRule type="cellIs" dxfId="16" priority="7" operator="equal">
      <formula>"le poteau est stable"</formula>
    </cfRule>
  </conditionalFormatting>
  <conditionalFormatting sqref="F59">
    <cfRule type="cellIs" dxfId="15" priority="3" operator="equal">
      <formula>"non vérifié "</formula>
    </cfRule>
    <cfRule type="cellIs" dxfId="14" priority="4" operator="equal">
      <formula>"vérifié"</formula>
    </cfRule>
  </conditionalFormatting>
  <conditionalFormatting sqref="F53:F55">
    <cfRule type="cellIs" dxfId="13" priority="1" operator="equal">
      <formula>"non vérifié"</formula>
    </cfRule>
    <cfRule type="cellIs" dxfId="12" priority="2" operator="equal">
      <formula>"vérifié"</formula>
    </cfRule>
  </conditionalFormatting>
  <dataValidations count="6">
    <dataValidation type="list" allowBlank="1" showInputMessage="1" showErrorMessage="1" prompt="si RL =1_x000a_si HA =1.5" sqref="E33" xr:uid="{00000000-0002-0000-0300-000000000000}">
      <formula1>$M$27:$N$27</formula1>
    </dataValidation>
    <dataValidation type="list" allowBlank="1" showInputMessage="1" showErrorMessage="1" sqref="E35" xr:uid="{00000000-0002-0000-0300-000001000000}">
      <formula1>$K$38:$K$41</formula1>
    </dataValidation>
    <dataValidation type="list" allowBlank="1" showInputMessage="1" showErrorMessage="1" sqref="E31" xr:uid="{00000000-0002-0000-0300-000002000000}">
      <formula1>$J$26:$J$29</formula1>
    </dataValidation>
    <dataValidation type="list" allowBlank="1" showInputMessage="1" showErrorMessage="1" sqref="E36:E38" xr:uid="{00000000-0002-0000-0300-000003000000}">
      <formula1>$K$32:$K$34</formula1>
    </dataValidation>
    <dataValidation type="list" allowBlank="1" showInputMessage="1" showErrorMessage="1" sqref="E57" xr:uid="{00000000-0002-0000-0300-000004000000}">
      <formula1>$I$54:$R$54</formula1>
    </dataValidation>
    <dataValidation type="list" allowBlank="1" showInputMessage="1" showErrorMessage="1" sqref="G57" xr:uid="{00000000-0002-0000-0300-000005000000}">
      <formula1>$H$55:$H$64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B2:R64"/>
  <sheetViews>
    <sheetView topLeftCell="A34" zoomScale="85" zoomScaleNormal="85" workbookViewId="0">
      <selection activeCell="C5" sqref="C5"/>
    </sheetView>
  </sheetViews>
  <sheetFormatPr defaultColWidth="11.5546875" defaultRowHeight="14.4"/>
  <cols>
    <col min="1" max="1" width="30.21875" style="1" customWidth="1"/>
    <col min="2" max="2" width="29.88671875" style="1" customWidth="1"/>
    <col min="3" max="3" width="33.5546875" style="1" customWidth="1"/>
    <col min="4" max="4" width="16.77734375" style="1" customWidth="1"/>
    <col min="5" max="5" width="17.33203125" style="1" customWidth="1"/>
    <col min="6" max="6" width="15.109375" style="1" customWidth="1"/>
    <col min="7" max="7" width="11.5546875" style="1"/>
    <col min="8" max="8" width="11.77734375" style="1" customWidth="1"/>
    <col min="9" max="9" width="11.5546875" style="1"/>
    <col min="10" max="10" width="17.44140625" style="1" customWidth="1"/>
    <col min="11" max="13" width="11.5546875" style="1"/>
    <col min="14" max="14" width="16.21875" style="1" customWidth="1"/>
    <col min="15" max="16384" width="11.5546875" style="1"/>
  </cols>
  <sheetData>
    <row r="2" spans="2:16" ht="15" thickBot="1"/>
    <row r="3" spans="2:16" ht="33.6" customHeight="1" thickBot="1">
      <c r="C3" s="59" t="s">
        <v>118</v>
      </c>
      <c r="D3" s="60">
        <v>43948</v>
      </c>
      <c r="F3" s="233" t="s">
        <v>9</v>
      </c>
      <c r="G3" s="234"/>
      <c r="H3" s="234"/>
      <c r="I3" s="234"/>
      <c r="J3" s="234"/>
      <c r="K3" s="234"/>
      <c r="L3" s="235"/>
      <c r="N3" s="223" t="s">
        <v>1</v>
      </c>
      <c r="O3" s="224"/>
      <c r="P3" s="225"/>
    </row>
    <row r="4" spans="2:16" ht="24" thickBot="1">
      <c r="H4" s="236" t="s">
        <v>0</v>
      </c>
      <c r="I4" s="237"/>
      <c r="J4" s="238"/>
      <c r="N4" s="226" t="s">
        <v>10</v>
      </c>
      <c r="O4" s="227"/>
      <c r="P4" s="228"/>
    </row>
    <row r="5" spans="2:16" ht="15" thickBot="1">
      <c r="N5" s="2"/>
      <c r="O5" s="3"/>
      <c r="P5" s="4"/>
    </row>
    <row r="6" spans="2:16" ht="16.2" thickBot="1">
      <c r="B6" s="12"/>
      <c r="D6" s="54" t="s">
        <v>107</v>
      </c>
      <c r="N6" s="229" t="s">
        <v>11</v>
      </c>
      <c r="O6" s="230"/>
      <c r="P6" s="231"/>
    </row>
    <row r="7" spans="2:16" ht="15" thickBot="1">
      <c r="B7" s="12"/>
      <c r="C7" s="12"/>
      <c r="D7" s="55" t="s">
        <v>108</v>
      </c>
    </row>
    <row r="8" spans="2:16" ht="14.4" customHeight="1" thickBot="1">
      <c r="B8" s="12"/>
      <c r="C8" s="12"/>
      <c r="D8" s="56" t="s">
        <v>109</v>
      </c>
      <c r="I8" s="264" t="s">
        <v>3</v>
      </c>
      <c r="J8" s="46"/>
    </row>
    <row r="9" spans="2:16" ht="14.4" customHeight="1" thickBot="1">
      <c r="B9" s="12"/>
      <c r="C9" s="12"/>
      <c r="D9" s="57" t="s">
        <v>110</v>
      </c>
      <c r="I9" s="264"/>
      <c r="J9" s="46"/>
    </row>
    <row r="10" spans="2:16" ht="14.4" customHeight="1" thickBot="1">
      <c r="B10" s="12"/>
      <c r="C10" s="12"/>
      <c r="D10" s="58" t="s">
        <v>111</v>
      </c>
      <c r="I10" s="264"/>
      <c r="J10" s="46"/>
    </row>
    <row r="11" spans="2:16" ht="14.4" customHeight="1">
      <c r="B11" s="12"/>
      <c r="C11" s="12"/>
      <c r="I11" s="264"/>
      <c r="J11" s="46"/>
    </row>
    <row r="12" spans="2:16" ht="14.4" customHeight="1">
      <c r="B12" s="12"/>
      <c r="C12" s="12"/>
      <c r="I12" s="46"/>
      <c r="J12" s="46"/>
    </row>
    <row r="13" spans="2:16" ht="14.4" customHeight="1">
      <c r="B13" s="12"/>
      <c r="C13" s="12"/>
      <c r="I13" s="46"/>
      <c r="J13" s="46"/>
    </row>
    <row r="14" spans="2:16">
      <c r="B14" s="12"/>
      <c r="C14" s="12"/>
    </row>
    <row r="15" spans="2:16">
      <c r="B15" s="12"/>
      <c r="C15" s="12"/>
    </row>
    <row r="16" spans="2:16" ht="15" thickBot="1">
      <c r="B16" s="12"/>
      <c r="C16" s="12"/>
    </row>
    <row r="17" spans="2:16" ht="15" thickBot="1">
      <c r="B17" s="12"/>
      <c r="C17" s="12"/>
      <c r="F17" s="218" t="s">
        <v>115</v>
      </c>
      <c r="G17" s="219"/>
      <c r="H17" s="220"/>
      <c r="K17" s="221" t="s">
        <v>8</v>
      </c>
      <c r="L17" s="222"/>
    </row>
    <row r="18" spans="2:16">
      <c r="B18" s="12"/>
      <c r="C18" s="12"/>
    </row>
    <row r="19" spans="2:16" ht="15" thickBot="1">
      <c r="B19" s="12"/>
      <c r="C19" s="12"/>
    </row>
    <row r="20" spans="2:16" ht="18.600000000000001" thickBot="1">
      <c r="B20" s="195" t="s">
        <v>106</v>
      </c>
      <c r="C20" s="196"/>
      <c r="D20" s="189" t="s">
        <v>112</v>
      </c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90"/>
    </row>
    <row r="22" spans="2:16" ht="15" thickBot="1"/>
    <row r="23" spans="2:16" ht="21" thickBot="1">
      <c r="B23" s="197" t="s">
        <v>2</v>
      </c>
      <c r="C23" s="198"/>
      <c r="D23" s="198"/>
      <c r="E23" s="198"/>
      <c r="F23" s="199"/>
    </row>
    <row r="24" spans="2:16" ht="15.6" thickBot="1">
      <c r="B24" s="200" t="s">
        <v>12</v>
      </c>
      <c r="C24" s="23" t="s">
        <v>13</v>
      </c>
      <c r="D24" s="33" t="s">
        <v>14</v>
      </c>
      <c r="E24" s="47">
        <f>ROUNDUP((E50/(E25-2))+2,0)</f>
        <v>34</v>
      </c>
      <c r="F24" s="50" t="s">
        <v>93</v>
      </c>
    </row>
    <row r="25" spans="2:16" ht="15.6" thickBot="1">
      <c r="B25" s="201"/>
      <c r="C25" s="24" t="s">
        <v>16</v>
      </c>
      <c r="D25" s="40" t="s">
        <v>17</v>
      </c>
      <c r="E25" s="41">
        <v>22</v>
      </c>
      <c r="F25" s="51" t="s">
        <v>93</v>
      </c>
      <c r="I25" s="202" t="s">
        <v>18</v>
      </c>
      <c r="J25" s="203"/>
    </row>
    <row r="26" spans="2:16" ht="15" thickBot="1">
      <c r="B26" s="209" t="s">
        <v>19</v>
      </c>
      <c r="C26" s="24" t="s">
        <v>20</v>
      </c>
      <c r="D26" s="35" t="s">
        <v>21</v>
      </c>
      <c r="E26" s="41">
        <v>0.5</v>
      </c>
      <c r="F26" s="51" t="s">
        <v>22</v>
      </c>
      <c r="I26" s="211" t="s">
        <v>23</v>
      </c>
      <c r="J26" s="37">
        <v>500</v>
      </c>
      <c r="L26" s="213" t="s">
        <v>24</v>
      </c>
      <c r="M26" s="37" t="s">
        <v>25</v>
      </c>
      <c r="N26" s="37" t="s">
        <v>23</v>
      </c>
    </row>
    <row r="27" spans="2:16" ht="15" thickBot="1">
      <c r="B27" s="210"/>
      <c r="C27" s="24" t="s">
        <v>26</v>
      </c>
      <c r="D27" s="35" t="s">
        <v>27</v>
      </c>
      <c r="E27" s="41">
        <v>0.1</v>
      </c>
      <c r="F27" s="51" t="s">
        <v>22</v>
      </c>
      <c r="I27" s="212"/>
      <c r="J27" s="37">
        <v>400</v>
      </c>
      <c r="L27" s="214"/>
      <c r="M27" s="37">
        <v>1</v>
      </c>
      <c r="N27" s="37">
        <v>1.5</v>
      </c>
    </row>
    <row r="28" spans="2:16" ht="15.6" thickBot="1">
      <c r="B28" s="215" t="s">
        <v>28</v>
      </c>
      <c r="C28" s="24" t="s">
        <v>29</v>
      </c>
      <c r="D28" s="40" t="s">
        <v>30</v>
      </c>
      <c r="E28" s="41">
        <v>25</v>
      </c>
      <c r="F28" s="51" t="s">
        <v>31</v>
      </c>
      <c r="I28" s="211" t="s">
        <v>25</v>
      </c>
      <c r="J28" s="37">
        <v>215</v>
      </c>
    </row>
    <row r="29" spans="2:16" ht="15" customHeight="1" thickBot="1">
      <c r="B29" s="216"/>
      <c r="C29" s="239"/>
      <c r="D29" s="40" t="s">
        <v>32</v>
      </c>
      <c r="E29" s="41">
        <v>1</v>
      </c>
      <c r="I29" s="212"/>
      <c r="J29" s="38">
        <v>235</v>
      </c>
    </row>
    <row r="30" spans="2:16" ht="15" customHeight="1" thickBot="1">
      <c r="B30" s="217"/>
      <c r="C30" s="240"/>
      <c r="D30" s="40" t="s">
        <v>33</v>
      </c>
      <c r="E30" s="41">
        <v>1.5</v>
      </c>
    </row>
    <row r="31" spans="2:16" ht="15.6" thickBot="1">
      <c r="B31" s="215" t="s">
        <v>34</v>
      </c>
      <c r="C31" s="24" t="s">
        <v>35</v>
      </c>
      <c r="D31" s="40" t="s">
        <v>36</v>
      </c>
      <c r="E31" s="41">
        <v>400</v>
      </c>
      <c r="F31" s="51" t="s">
        <v>31</v>
      </c>
      <c r="K31" s="36" t="s">
        <v>37</v>
      </c>
    </row>
    <row r="32" spans="2:16" ht="15.6" thickBot="1">
      <c r="B32" s="216"/>
      <c r="C32" s="24" t="s">
        <v>38</v>
      </c>
      <c r="D32" s="40" t="s">
        <v>38</v>
      </c>
      <c r="E32" s="41">
        <v>1.1499999999999999</v>
      </c>
      <c r="I32" s="241" t="s">
        <v>39</v>
      </c>
      <c r="J32" s="242"/>
      <c r="K32" s="37">
        <v>1.2</v>
      </c>
    </row>
    <row r="33" spans="2:11" ht="15.6" thickBot="1">
      <c r="B33" s="217"/>
      <c r="C33" s="24" t="s">
        <v>40</v>
      </c>
      <c r="D33" s="40" t="s">
        <v>40</v>
      </c>
      <c r="E33" s="41">
        <v>1.5</v>
      </c>
      <c r="I33" s="241" t="s">
        <v>41</v>
      </c>
      <c r="J33" s="242"/>
      <c r="K33" s="37">
        <v>1.1000000000000001</v>
      </c>
    </row>
    <row r="34" spans="2:11" ht="15" customHeight="1" thickBot="1">
      <c r="B34" s="21" t="s">
        <v>42</v>
      </c>
      <c r="C34" s="243"/>
      <c r="D34" s="40" t="s">
        <v>43</v>
      </c>
      <c r="E34" s="41">
        <v>3.2</v>
      </c>
      <c r="F34" s="51" t="s">
        <v>15</v>
      </c>
      <c r="I34" s="241" t="s">
        <v>44</v>
      </c>
      <c r="J34" s="242"/>
      <c r="K34" s="37">
        <v>1</v>
      </c>
    </row>
    <row r="35" spans="2:11" ht="14.4" customHeight="1">
      <c r="B35" s="21" t="s">
        <v>45</v>
      </c>
      <c r="C35" s="244"/>
      <c r="D35" s="40" t="s">
        <v>46</v>
      </c>
      <c r="E35" s="22">
        <v>1</v>
      </c>
    </row>
    <row r="36" spans="2:11">
      <c r="B36" s="209" t="s">
        <v>47</v>
      </c>
      <c r="C36" s="25" t="s">
        <v>48</v>
      </c>
      <c r="D36" s="247" t="s">
        <v>49</v>
      </c>
      <c r="E36" s="249">
        <v>1</v>
      </c>
    </row>
    <row r="37" spans="2:11" ht="15" thickBot="1">
      <c r="B37" s="245"/>
      <c r="C37" s="25" t="s">
        <v>50</v>
      </c>
      <c r="D37" s="247"/>
      <c r="E37" s="249"/>
    </row>
    <row r="38" spans="2:11" ht="15" thickBot="1">
      <c r="B38" s="246"/>
      <c r="C38" s="26" t="s">
        <v>51</v>
      </c>
      <c r="D38" s="248"/>
      <c r="E38" s="250"/>
      <c r="I38" s="204" t="s">
        <v>101</v>
      </c>
      <c r="J38" s="205"/>
      <c r="K38" s="37">
        <v>1</v>
      </c>
    </row>
    <row r="39" spans="2:11" ht="15" thickBot="1">
      <c r="I39" s="204" t="s">
        <v>102</v>
      </c>
      <c r="J39" s="205"/>
      <c r="K39" s="37">
        <v>0.5</v>
      </c>
    </row>
    <row r="40" spans="2:11" ht="21" thickBot="1">
      <c r="B40" s="197" t="s">
        <v>54</v>
      </c>
      <c r="C40" s="206"/>
      <c r="D40" s="206"/>
      <c r="E40" s="206"/>
      <c r="F40" s="207"/>
      <c r="I40" s="204" t="s">
        <v>103</v>
      </c>
      <c r="J40" s="205"/>
      <c r="K40" s="37">
        <v>0.7</v>
      </c>
    </row>
    <row r="41" spans="2:11" ht="15" thickBot="1">
      <c r="B41" s="208" t="s">
        <v>19</v>
      </c>
      <c r="C41" s="27" t="s">
        <v>56</v>
      </c>
      <c r="D41" s="35" t="s">
        <v>57</v>
      </c>
      <c r="E41" s="48">
        <f>1.35*E26+1.5*E27</f>
        <v>0.82500000000000007</v>
      </c>
      <c r="F41" s="50" t="s">
        <v>22</v>
      </c>
      <c r="I41" s="204" t="s">
        <v>104</v>
      </c>
      <c r="J41" s="205"/>
      <c r="K41" s="37">
        <v>2</v>
      </c>
    </row>
    <row r="42" spans="2:11">
      <c r="B42" s="194"/>
      <c r="C42" s="42" t="s">
        <v>59</v>
      </c>
      <c r="D42" s="35" t="s">
        <v>60</v>
      </c>
      <c r="E42" s="48">
        <f>E26+E27</f>
        <v>0.6</v>
      </c>
      <c r="F42" s="51" t="s">
        <v>22</v>
      </c>
    </row>
    <row r="43" spans="2:11">
      <c r="B43" s="191" t="s">
        <v>28</v>
      </c>
      <c r="C43" s="29" t="s">
        <v>61</v>
      </c>
      <c r="D43" s="35" t="s">
        <v>62</v>
      </c>
      <c r="E43" s="48">
        <f>0.6+0.06*E28</f>
        <v>2.1</v>
      </c>
      <c r="F43" s="51" t="s">
        <v>31</v>
      </c>
    </row>
    <row r="44" spans="2:11">
      <c r="B44" s="192"/>
      <c r="C44" s="30" t="s">
        <v>63</v>
      </c>
      <c r="D44" s="35" t="s">
        <v>64</v>
      </c>
      <c r="E44" s="48">
        <f>(0.85*E28)/(E29*E30)</f>
        <v>14.166666666666666</v>
      </c>
      <c r="F44" s="51" t="s">
        <v>31</v>
      </c>
    </row>
    <row r="45" spans="2:11">
      <c r="B45" s="193" t="s">
        <v>65</v>
      </c>
      <c r="C45" s="42" t="s">
        <v>66</v>
      </c>
      <c r="D45" s="35" t="s">
        <v>66</v>
      </c>
      <c r="E45" s="48">
        <f>E31/E32</f>
        <v>347.82608695652175</v>
      </c>
      <c r="F45" s="51" t="s">
        <v>31</v>
      </c>
    </row>
    <row r="46" spans="2:11" ht="15" thickBot="1">
      <c r="B46" s="194"/>
      <c r="C46" s="42" t="s">
        <v>67</v>
      </c>
      <c r="D46" s="35" t="s">
        <v>67</v>
      </c>
      <c r="E46" s="48">
        <f>0.6*E33^2*E43</f>
        <v>2.835</v>
      </c>
      <c r="F46" s="52" t="s">
        <v>31</v>
      </c>
    </row>
    <row r="47" spans="2:11" ht="15" thickBot="1">
      <c r="B47" s="193" t="s">
        <v>68</v>
      </c>
      <c r="C47" s="43" t="s">
        <v>69</v>
      </c>
      <c r="D47" s="35" t="s">
        <v>70</v>
      </c>
      <c r="E47" s="48">
        <f>E34*E35</f>
        <v>3.2</v>
      </c>
      <c r="F47" s="52" t="s">
        <v>15</v>
      </c>
    </row>
    <row r="48" spans="2:11" ht="15" thickBot="1">
      <c r="B48" s="194"/>
      <c r="C48" s="43" t="s">
        <v>71</v>
      </c>
      <c r="D48" s="35" t="s">
        <v>72</v>
      </c>
      <c r="E48" s="48">
        <f>(SQRT(12)*E47)/(E25*10^-2)</f>
        <v>50.386932583821888</v>
      </c>
      <c r="F48" s="261" t="str">
        <f>IF(AND(E48&gt;=35,E48&lt;=70),"le poteau est stable","le poteau n'est pas stable")</f>
        <v>le poteau est stable</v>
      </c>
      <c r="G48" s="262"/>
      <c r="H48" s="263"/>
    </row>
    <row r="49" spans="2:18">
      <c r="B49" s="31" t="s">
        <v>73</v>
      </c>
      <c r="C49" s="43" t="s">
        <v>74</v>
      </c>
      <c r="D49" s="35" t="s">
        <v>74</v>
      </c>
      <c r="E49" s="48">
        <f>IF(E48&lt;=50,(1+0.2*(E48/35)^2),((0.85*E48^2)/1500))</f>
        <v>1.4386776859504133</v>
      </c>
    </row>
    <row r="50" spans="2:18">
      <c r="B50" s="31" t="s">
        <v>75</v>
      </c>
      <c r="C50" s="43" t="s">
        <v>76</v>
      </c>
      <c r="D50" s="35" t="s">
        <v>76</v>
      </c>
      <c r="E50" s="48">
        <f>((E36*E49*E41)/((E29*(E44/0.9))+(0.85*(E45/100))))*10^4</f>
        <v>634.80367363237076</v>
      </c>
      <c r="F50" s="51" t="s">
        <v>87</v>
      </c>
    </row>
    <row r="51" spans="2:18">
      <c r="B51" s="31" t="s">
        <v>77</v>
      </c>
      <c r="C51" s="43" t="s">
        <v>78</v>
      </c>
      <c r="D51" s="35" t="s">
        <v>78</v>
      </c>
      <c r="E51" s="48">
        <f>(E50*10^-4*E44)/0.9</f>
        <v>0.9992280047916946</v>
      </c>
      <c r="F51" s="51" t="s">
        <v>22</v>
      </c>
    </row>
    <row r="52" spans="2:18" ht="15" thickBot="1">
      <c r="B52" s="32" t="s">
        <v>79</v>
      </c>
      <c r="C52" s="44" t="s">
        <v>80</v>
      </c>
      <c r="D52" s="35" t="s">
        <v>60</v>
      </c>
      <c r="E52" s="48">
        <f>(E36*E49*E41)-E51</f>
        <v>0.18768108611739653</v>
      </c>
      <c r="F52" s="52" t="s">
        <v>22</v>
      </c>
    </row>
    <row r="53" spans="2:18" ht="21" thickBot="1">
      <c r="B53" s="208" t="s">
        <v>81</v>
      </c>
      <c r="C53" s="44" t="s">
        <v>82</v>
      </c>
      <c r="D53" s="45">
        <f>((E52*10^4)/(0.85*E45))</f>
        <v>6.3480367363237056</v>
      </c>
      <c r="E53" s="49">
        <f>IF(AND(D53&gt;=E54,D53&lt;=E55),D53,0)+IF(D53&lt;E54,E54,0)</f>
        <v>6.3480367363237056</v>
      </c>
      <c r="F53" s="255" t="str">
        <f>IF(AND(D53&gt;=E54,D53&lt;=E55),"vérifié","non vérifié")</f>
        <v>vérifié</v>
      </c>
      <c r="H53" s="197" t="s">
        <v>83</v>
      </c>
      <c r="I53" s="206"/>
      <c r="J53" s="206"/>
      <c r="K53" s="206"/>
      <c r="L53" s="206"/>
      <c r="M53" s="206"/>
      <c r="N53" s="206"/>
      <c r="O53" s="206"/>
      <c r="P53" s="206"/>
      <c r="Q53" s="206"/>
      <c r="R53" s="206"/>
    </row>
    <row r="54" spans="2:18">
      <c r="B54" s="253"/>
      <c r="C54" s="258" t="s">
        <v>84</v>
      </c>
      <c r="D54" s="259"/>
      <c r="E54" s="48">
        <f>MAX((4*(E25+E24)*2*10^-2),(0.2*(E25*E24)/100))</f>
        <v>4.4800000000000004</v>
      </c>
      <c r="F54" s="256"/>
      <c r="H54" s="15" t="s">
        <v>117</v>
      </c>
      <c r="I54" s="13">
        <v>1</v>
      </c>
      <c r="J54" s="13">
        <v>2</v>
      </c>
      <c r="K54" s="13">
        <v>3</v>
      </c>
      <c r="L54" s="13">
        <v>4</v>
      </c>
      <c r="M54" s="13">
        <v>5</v>
      </c>
      <c r="N54" s="13">
        <v>6</v>
      </c>
      <c r="O54" s="13">
        <v>7</v>
      </c>
      <c r="P54" s="13">
        <v>8</v>
      </c>
      <c r="Q54" s="13">
        <v>9</v>
      </c>
      <c r="R54" s="16">
        <v>10</v>
      </c>
    </row>
    <row r="55" spans="2:18" ht="15" thickBot="1">
      <c r="B55" s="253"/>
      <c r="C55" s="258" t="s">
        <v>105</v>
      </c>
      <c r="D55" s="259"/>
      <c r="E55" s="81">
        <f>(5*(E25*E24))/100</f>
        <v>37.4</v>
      </c>
      <c r="F55" s="257"/>
      <c r="H55" s="15">
        <v>6</v>
      </c>
      <c r="I55" s="13">
        <v>0.28000000000000003</v>
      </c>
      <c r="J55" s="13">
        <v>0.56999999999999995</v>
      </c>
      <c r="K55" s="13">
        <v>0.85</v>
      </c>
      <c r="L55" s="13">
        <v>1.1299999999999999</v>
      </c>
      <c r="M55" s="13">
        <v>1.41</v>
      </c>
      <c r="N55" s="13">
        <v>1.7</v>
      </c>
      <c r="O55" s="13">
        <v>1.98</v>
      </c>
      <c r="P55" s="13">
        <v>2.2599999999999998</v>
      </c>
      <c r="Q55" s="13">
        <v>2.54</v>
      </c>
      <c r="R55" s="16">
        <v>2.54</v>
      </c>
    </row>
    <row r="56" spans="2:18" ht="15" thickBot="1">
      <c r="B56" s="253"/>
      <c r="C56" s="258" t="s">
        <v>86</v>
      </c>
      <c r="D56" s="265"/>
      <c r="E56" s="70"/>
      <c r="F56" s="80" t="s">
        <v>87</v>
      </c>
      <c r="H56" s="15">
        <v>8</v>
      </c>
      <c r="I56" s="13">
        <v>0.5</v>
      </c>
      <c r="J56" s="13">
        <v>1.01</v>
      </c>
      <c r="K56" s="13">
        <v>1.51</v>
      </c>
      <c r="L56" s="13">
        <v>2.0099999999999998</v>
      </c>
      <c r="M56" s="13">
        <v>2.5099999999999998</v>
      </c>
      <c r="N56" s="13">
        <v>3.02</v>
      </c>
      <c r="O56" s="13">
        <v>3.52</v>
      </c>
      <c r="P56" s="13">
        <v>4.0199999999999996</v>
      </c>
      <c r="Q56" s="13">
        <v>4.5199999999999996</v>
      </c>
      <c r="R56" s="16">
        <v>4.5199999999999996</v>
      </c>
    </row>
    <row r="57" spans="2:18" ht="15" thickBot="1">
      <c r="B57" s="254"/>
      <c r="C57" s="258" t="s">
        <v>116</v>
      </c>
      <c r="D57" s="265"/>
      <c r="E57" s="70"/>
      <c r="F57" s="82" t="s">
        <v>23</v>
      </c>
      <c r="G57" s="79"/>
      <c r="H57" s="15">
        <v>10</v>
      </c>
      <c r="I57" s="13">
        <v>0.79</v>
      </c>
      <c r="J57" s="13">
        <v>1.57</v>
      </c>
      <c r="K57" s="13">
        <v>2.36</v>
      </c>
      <c r="L57" s="13">
        <v>3.14</v>
      </c>
      <c r="M57" s="13">
        <v>3.93</v>
      </c>
      <c r="N57" s="13">
        <v>4.71</v>
      </c>
      <c r="O57" s="13">
        <v>5.5</v>
      </c>
      <c r="P57" s="13">
        <v>6.28</v>
      </c>
      <c r="Q57" s="13">
        <v>7.07</v>
      </c>
      <c r="R57" s="16">
        <v>7.07</v>
      </c>
    </row>
    <row r="58" spans="2:18">
      <c r="B58" s="208" t="s">
        <v>88</v>
      </c>
      <c r="C58" s="258" t="s">
        <v>89</v>
      </c>
      <c r="D58" s="259"/>
      <c r="E58" s="48">
        <v>14</v>
      </c>
      <c r="F58" s="50" t="s">
        <v>90</v>
      </c>
      <c r="H58" s="15">
        <v>12</v>
      </c>
      <c r="I58" s="13">
        <v>1.1299999999999999</v>
      </c>
      <c r="J58" s="13">
        <v>2.2599999999999998</v>
      </c>
      <c r="K58" s="13">
        <v>3.39</v>
      </c>
      <c r="L58" s="13">
        <v>4.5199999999999996</v>
      </c>
      <c r="M58" s="13">
        <v>5.65</v>
      </c>
      <c r="N58" s="13">
        <v>6.79</v>
      </c>
      <c r="O58" s="13">
        <v>7.92</v>
      </c>
      <c r="P58" s="13">
        <v>9.0500000000000007</v>
      </c>
      <c r="Q58" s="13">
        <v>10.18</v>
      </c>
      <c r="R58" s="16">
        <v>10.18</v>
      </c>
    </row>
    <row r="59" spans="2:18">
      <c r="B59" s="253"/>
      <c r="C59" s="258" t="s">
        <v>91</v>
      </c>
      <c r="D59" s="259"/>
      <c r="E59" s="48">
        <f>(IF(E58/3&lt;=6,6,0)+IF(AND(E58/3&gt;6,E58/3&lt;=8),8,0)+IF(E58/3&gt;8,10,0))</f>
        <v>6</v>
      </c>
      <c r="F59" s="16" t="str">
        <f>IF(AND(E59&gt;=E58/3,R35&lt;=12),"vérifié","non vérifié")</f>
        <v>vérifié</v>
      </c>
      <c r="H59" s="15">
        <v>14</v>
      </c>
      <c r="I59" s="13">
        <v>1.54</v>
      </c>
      <c r="J59" s="13">
        <v>3.08</v>
      </c>
      <c r="K59" s="13">
        <v>4.62</v>
      </c>
      <c r="L59" s="13">
        <v>6.16</v>
      </c>
      <c r="M59" s="13">
        <v>7.7</v>
      </c>
      <c r="N59" s="13">
        <v>9.24</v>
      </c>
      <c r="O59" s="13">
        <v>10.78</v>
      </c>
      <c r="P59" s="13">
        <v>12.32</v>
      </c>
      <c r="Q59" s="13">
        <v>13.85</v>
      </c>
      <c r="R59" s="16">
        <v>13.85</v>
      </c>
    </row>
    <row r="60" spans="2:18">
      <c r="B60" s="253"/>
      <c r="C60" s="258" t="s">
        <v>92</v>
      </c>
      <c r="D60" s="259"/>
      <c r="E60" s="48">
        <f>IF(E53&gt;E54,1.5*E58,0)+IF(E53&lt;=E54,MIN(40,E25+10,1.5*E58),0)</f>
        <v>21</v>
      </c>
      <c r="F60" s="51" t="s">
        <v>93</v>
      </c>
      <c r="H60" s="15">
        <v>16</v>
      </c>
      <c r="I60" s="13">
        <v>2.0099999999999998</v>
      </c>
      <c r="J60" s="13">
        <v>4.0199999999999996</v>
      </c>
      <c r="K60" s="13">
        <v>6.03</v>
      </c>
      <c r="L60" s="13">
        <v>8.0399999999999991</v>
      </c>
      <c r="M60" s="13">
        <v>10.5</v>
      </c>
      <c r="N60" s="13">
        <v>12.06</v>
      </c>
      <c r="O60" s="13">
        <v>14.07</v>
      </c>
      <c r="P60" s="13">
        <v>16.079999999999998</v>
      </c>
      <c r="Q60" s="13">
        <v>18.100000000000001</v>
      </c>
      <c r="R60" s="16">
        <v>18.100000000000001</v>
      </c>
    </row>
    <row r="61" spans="2:18">
      <c r="B61" s="253"/>
      <c r="C61" s="258" t="s">
        <v>94</v>
      </c>
      <c r="D61" s="259"/>
      <c r="E61" s="48">
        <f>(E58*10^-2/4)*(E31/E46)</f>
        <v>4.9382716049382722</v>
      </c>
      <c r="F61" s="51" t="s">
        <v>93</v>
      </c>
      <c r="H61" s="15">
        <v>20</v>
      </c>
      <c r="I61" s="13">
        <v>3.14</v>
      </c>
      <c r="J61" s="13">
        <v>6.28</v>
      </c>
      <c r="K61" s="13">
        <v>9.42</v>
      </c>
      <c r="L61" s="13">
        <v>12.57</v>
      </c>
      <c r="M61" s="13">
        <v>15.71</v>
      </c>
      <c r="N61" s="13">
        <v>18.850000000000001</v>
      </c>
      <c r="O61" s="13">
        <v>21.99</v>
      </c>
      <c r="P61" s="13">
        <v>25.13</v>
      </c>
      <c r="Q61" s="13">
        <v>28.27</v>
      </c>
      <c r="R61" s="16">
        <v>28.27</v>
      </c>
    </row>
    <row r="62" spans="2:18" ht="15" thickBot="1">
      <c r="B62" s="254"/>
      <c r="C62" s="258" t="s">
        <v>95</v>
      </c>
      <c r="D62" s="259"/>
      <c r="E62" s="48">
        <f>0.6*E61</f>
        <v>2.9629629629629632</v>
      </c>
      <c r="F62" s="52" t="s">
        <v>93</v>
      </c>
      <c r="H62" s="15">
        <v>25</v>
      </c>
      <c r="I62" s="13">
        <v>4.91</v>
      </c>
      <c r="J62" s="13">
        <v>9.82</v>
      </c>
      <c r="K62" s="13">
        <v>14.73</v>
      </c>
      <c r="L62" s="13">
        <v>19.63</v>
      </c>
      <c r="M62" s="13">
        <v>24.54</v>
      </c>
      <c r="N62" s="13">
        <v>29.45</v>
      </c>
      <c r="O62" s="13">
        <v>34.36</v>
      </c>
      <c r="P62" s="13">
        <v>39.270000000000003</v>
      </c>
      <c r="Q62" s="13">
        <v>44.18</v>
      </c>
      <c r="R62" s="16">
        <v>44.18</v>
      </c>
    </row>
    <row r="63" spans="2:18">
      <c r="B63" s="208" t="s">
        <v>96</v>
      </c>
      <c r="C63" s="258" t="s">
        <v>97</v>
      </c>
      <c r="D63" s="259"/>
      <c r="E63" s="48">
        <f>E42/(((E25*100*E24*100)+(15*E56))*10^-4)</f>
        <v>8.021390374331551E-4</v>
      </c>
      <c r="F63" s="255" t="str">
        <f>IF(E63&lt;=E64,"vérifié","non vérifié")</f>
        <v>vérifié</v>
      </c>
      <c r="H63" s="15">
        <v>35</v>
      </c>
      <c r="I63" s="13">
        <v>8.0399999999999991</v>
      </c>
      <c r="J63" s="13">
        <v>16.079999999999998</v>
      </c>
      <c r="K63" s="13">
        <v>24.13</v>
      </c>
      <c r="L63" s="13">
        <v>32.17</v>
      </c>
      <c r="M63" s="13">
        <v>40.21</v>
      </c>
      <c r="N63" s="13">
        <v>48.25</v>
      </c>
      <c r="O63" s="13">
        <v>56.3</v>
      </c>
      <c r="P63" s="13">
        <v>64.34</v>
      </c>
      <c r="Q63" s="13">
        <v>72.38</v>
      </c>
      <c r="R63" s="16">
        <v>72.38</v>
      </c>
    </row>
    <row r="64" spans="2:18" ht="15" thickBot="1">
      <c r="B64" s="254"/>
      <c r="C64" s="258" t="s">
        <v>98</v>
      </c>
      <c r="D64" s="259"/>
      <c r="E64" s="48">
        <f>0.3*E28</f>
        <v>7.5</v>
      </c>
      <c r="F64" s="260"/>
      <c r="H64" s="17">
        <v>40</v>
      </c>
      <c r="I64" s="14">
        <v>12.57</v>
      </c>
      <c r="J64" s="14">
        <v>25.13</v>
      </c>
      <c r="K64" s="14">
        <v>37.700000000000003</v>
      </c>
      <c r="L64" s="14">
        <v>50.27</v>
      </c>
      <c r="M64" s="14">
        <v>62.83</v>
      </c>
      <c r="N64" s="14">
        <v>75.400000000000006</v>
      </c>
      <c r="O64" s="14">
        <v>87.96</v>
      </c>
      <c r="P64" s="14">
        <v>100.53</v>
      </c>
      <c r="Q64" s="14">
        <v>113.1</v>
      </c>
      <c r="R64" s="18">
        <v>113.1</v>
      </c>
    </row>
  </sheetData>
  <sheetProtection formatCells="0" formatColumns="0" formatRows="0" insertColumns="0" insertRows="0" insertHyperlinks="0" deleteColumns="0" deleteRows="0" sort="0" autoFilter="0" pivotTables="0"/>
  <mergeCells count="54">
    <mergeCell ref="F17:H17"/>
    <mergeCell ref="K17:L17"/>
    <mergeCell ref="B20:C20"/>
    <mergeCell ref="D20:P20"/>
    <mergeCell ref="F3:L3"/>
    <mergeCell ref="N3:P3"/>
    <mergeCell ref="H4:J4"/>
    <mergeCell ref="N4:P4"/>
    <mergeCell ref="N6:P6"/>
    <mergeCell ref="B26:B27"/>
    <mergeCell ref="I26:I27"/>
    <mergeCell ref="L26:L27"/>
    <mergeCell ref="B28:B30"/>
    <mergeCell ref="I28:I29"/>
    <mergeCell ref="C29:C30"/>
    <mergeCell ref="B31:B33"/>
    <mergeCell ref="I32:J32"/>
    <mergeCell ref="I33:J33"/>
    <mergeCell ref="C34:C35"/>
    <mergeCell ref="I34:J34"/>
    <mergeCell ref="B45:B46"/>
    <mergeCell ref="B36:B38"/>
    <mergeCell ref="D36:D38"/>
    <mergeCell ref="E36:E38"/>
    <mergeCell ref="I38:J38"/>
    <mergeCell ref="I39:J39"/>
    <mergeCell ref="B40:F40"/>
    <mergeCell ref="I40:J40"/>
    <mergeCell ref="B41:B42"/>
    <mergeCell ref="I41:J41"/>
    <mergeCell ref="B43:B44"/>
    <mergeCell ref="B53:B57"/>
    <mergeCell ref="F53:F55"/>
    <mergeCell ref="H53:R53"/>
    <mergeCell ref="C54:D54"/>
    <mergeCell ref="C55:D55"/>
    <mergeCell ref="C56:D56"/>
    <mergeCell ref="C57:D57"/>
    <mergeCell ref="I25:J25"/>
    <mergeCell ref="F48:H48"/>
    <mergeCell ref="I8:I11"/>
    <mergeCell ref="B63:B64"/>
    <mergeCell ref="C63:D63"/>
    <mergeCell ref="F63:F64"/>
    <mergeCell ref="C64:D64"/>
    <mergeCell ref="B23:F23"/>
    <mergeCell ref="B24:B25"/>
    <mergeCell ref="B58:B62"/>
    <mergeCell ref="C58:D58"/>
    <mergeCell ref="C59:D59"/>
    <mergeCell ref="C60:D60"/>
    <mergeCell ref="C61:D61"/>
    <mergeCell ref="C62:D62"/>
    <mergeCell ref="B47:B48"/>
  </mergeCells>
  <conditionalFormatting sqref="F48:H48">
    <cfRule type="cellIs" dxfId="11" priority="15" operator="equal">
      <formula>"le poteau n'est pas stable"</formula>
    </cfRule>
    <cfRule type="cellIs" dxfId="10" priority="16" operator="equal">
      <formula>"le poteau est stable"</formula>
    </cfRule>
  </conditionalFormatting>
  <conditionalFormatting sqref="F53:F55">
    <cfRule type="cellIs" dxfId="9" priority="1" operator="equal">
      <formula>"non vérifié"</formula>
    </cfRule>
    <cfRule type="cellIs" dxfId="8" priority="2" operator="equal">
      <formula>"vérifié"</formula>
    </cfRule>
  </conditionalFormatting>
  <conditionalFormatting sqref="B24:B38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3:F64">
    <cfRule type="cellIs" dxfId="7" priority="5" operator="equal">
      <formula>"vérifié"</formula>
    </cfRule>
    <cfRule type="containsText" dxfId="6" priority="6" operator="containsText" text="non vérifié">
      <formula>NOT(ISERROR(SEARCH("non vérifié",F63)))</formula>
    </cfRule>
    <cfRule type="containsText" dxfId="5" priority="7" operator="containsText" text="vérifié">
      <formula>NOT(ISERROR(SEARCH("vérifié",F63)))</formula>
    </cfRule>
  </conditionalFormatting>
  <conditionalFormatting sqref="F59">
    <cfRule type="cellIs" dxfId="4" priority="3" operator="equal">
      <formula>"non vérifié "</formula>
    </cfRule>
    <cfRule type="cellIs" dxfId="3" priority="4" operator="equal">
      <formula>"vérifié"</formula>
    </cfRule>
  </conditionalFormatting>
  <dataValidations count="6">
    <dataValidation type="list" allowBlank="1" showInputMessage="1" showErrorMessage="1" sqref="E31" xr:uid="{00000000-0002-0000-0400-000000000000}">
      <formula1>$J$26:$J$29</formula1>
    </dataValidation>
    <dataValidation type="list" allowBlank="1" showInputMessage="1" showErrorMessage="1" sqref="E35" xr:uid="{00000000-0002-0000-0400-000001000000}">
      <formula1>$K$38:$K$41</formula1>
    </dataValidation>
    <dataValidation type="list" allowBlank="1" showInputMessage="1" showErrorMessage="1" prompt="si RL =1_x000a_si HA =1.5" sqref="E33" xr:uid="{00000000-0002-0000-0400-000002000000}">
      <formula1>$M$27:$N$27</formula1>
    </dataValidation>
    <dataValidation type="list" allowBlank="1" showInputMessage="1" showErrorMessage="1" sqref="E36:E38" xr:uid="{00000000-0002-0000-0400-000003000000}">
      <formula1>$K$32:$K$34</formula1>
    </dataValidation>
    <dataValidation type="list" allowBlank="1" showInputMessage="1" showErrorMessage="1" sqref="E57" xr:uid="{00000000-0002-0000-0400-000004000000}">
      <formula1>$I$54:$R$54</formula1>
    </dataValidation>
    <dataValidation type="list" allowBlank="1" showInputMessage="1" showErrorMessage="1" sqref="G57" xr:uid="{00000000-0002-0000-0400-000005000000}">
      <formula1>$H$55:$H$64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B2:S84"/>
  <sheetViews>
    <sheetView topLeftCell="A34" zoomScale="85" zoomScaleNormal="85" workbookViewId="0">
      <selection activeCell="E51" sqref="E51"/>
    </sheetView>
  </sheetViews>
  <sheetFormatPr defaultColWidth="11.5546875" defaultRowHeight="14.4"/>
  <cols>
    <col min="1" max="1" width="30.21875" style="1" customWidth="1"/>
    <col min="2" max="2" width="29.88671875" style="1" customWidth="1"/>
    <col min="3" max="3" width="33.5546875" style="1" customWidth="1"/>
    <col min="4" max="4" width="16.77734375" style="1" customWidth="1"/>
    <col min="5" max="5" width="17.33203125" style="1" customWidth="1"/>
    <col min="6" max="6" width="15.109375" style="1" customWidth="1"/>
    <col min="7" max="7" width="11.5546875" style="1"/>
    <col min="8" max="8" width="11.77734375" style="1" customWidth="1"/>
    <col min="9" max="9" width="11.5546875" style="1"/>
    <col min="10" max="10" width="17.44140625" style="1" customWidth="1"/>
    <col min="11" max="13" width="11.5546875" style="1"/>
    <col min="14" max="14" width="16.21875" style="1" customWidth="1"/>
    <col min="15" max="16384" width="11.5546875" style="1"/>
  </cols>
  <sheetData>
    <row r="2" spans="2:16" ht="15" thickBot="1"/>
    <row r="3" spans="2:16" ht="33.6" customHeight="1" thickBot="1">
      <c r="C3" s="59" t="s">
        <v>118</v>
      </c>
      <c r="D3" s="60">
        <v>43948</v>
      </c>
      <c r="F3" s="233" t="s">
        <v>9</v>
      </c>
      <c r="G3" s="234"/>
      <c r="H3" s="234"/>
      <c r="I3" s="234"/>
      <c r="J3" s="234"/>
      <c r="K3" s="234"/>
      <c r="L3" s="235"/>
      <c r="N3" s="223" t="s">
        <v>1</v>
      </c>
      <c r="O3" s="224"/>
      <c r="P3" s="225"/>
    </row>
    <row r="4" spans="2:16" ht="24" thickBot="1">
      <c r="H4" s="236" t="s">
        <v>0</v>
      </c>
      <c r="I4" s="237"/>
      <c r="J4" s="238"/>
      <c r="N4" s="226" t="s">
        <v>10</v>
      </c>
      <c r="O4" s="227"/>
      <c r="P4" s="228"/>
    </row>
    <row r="5" spans="2:16" ht="15" thickBot="1">
      <c r="N5" s="2"/>
      <c r="O5" s="3"/>
      <c r="P5" s="4"/>
    </row>
    <row r="6" spans="2:16" ht="16.2" thickBot="1">
      <c r="B6" s="12"/>
      <c r="D6" s="54" t="s">
        <v>107</v>
      </c>
      <c r="N6" s="229" t="s">
        <v>11</v>
      </c>
      <c r="O6" s="230"/>
      <c r="P6" s="231"/>
    </row>
    <row r="7" spans="2:16" ht="15" thickBot="1">
      <c r="B7" s="12"/>
      <c r="C7" s="12"/>
      <c r="D7" s="55" t="s">
        <v>108</v>
      </c>
    </row>
    <row r="8" spans="2:16" ht="14.4" customHeight="1" thickBot="1">
      <c r="B8" s="12"/>
      <c r="C8" s="12"/>
      <c r="D8" s="56" t="s">
        <v>109</v>
      </c>
      <c r="I8" s="264" t="s">
        <v>3</v>
      </c>
      <c r="J8" s="46"/>
    </row>
    <row r="9" spans="2:16" ht="14.4" customHeight="1" thickBot="1">
      <c r="B9" s="12"/>
      <c r="C9" s="12"/>
      <c r="D9" s="57" t="s">
        <v>110</v>
      </c>
      <c r="I9" s="264"/>
      <c r="J9" s="46"/>
    </row>
    <row r="10" spans="2:16" ht="14.4" customHeight="1" thickBot="1">
      <c r="B10" s="12"/>
      <c r="C10" s="12"/>
      <c r="D10" s="58" t="s">
        <v>111</v>
      </c>
      <c r="I10" s="264"/>
      <c r="J10" s="46"/>
    </row>
    <row r="11" spans="2:16" ht="14.4" customHeight="1">
      <c r="B11" s="12"/>
      <c r="C11" s="12"/>
      <c r="I11" s="264"/>
      <c r="J11" s="46"/>
    </row>
    <row r="12" spans="2:16" ht="14.4" customHeight="1">
      <c r="B12" s="12"/>
      <c r="C12" s="12"/>
      <c r="I12" s="46"/>
      <c r="J12" s="46"/>
    </row>
    <row r="13" spans="2:16" ht="14.4" customHeight="1">
      <c r="B13" s="12"/>
      <c r="C13" s="12"/>
      <c r="I13" s="46"/>
      <c r="J13" s="46"/>
    </row>
    <row r="14" spans="2:16">
      <c r="B14" s="12"/>
      <c r="C14" s="12"/>
    </row>
    <row r="15" spans="2:16">
      <c r="B15" s="12"/>
      <c r="C15" s="12"/>
    </row>
    <row r="16" spans="2:16" ht="15" thickBot="1">
      <c r="B16" s="12"/>
      <c r="C16" s="12"/>
    </row>
    <row r="17" spans="2:18" ht="15" thickBot="1">
      <c r="B17" s="12"/>
      <c r="C17" s="12"/>
      <c r="F17" s="218" t="s">
        <v>115</v>
      </c>
      <c r="G17" s="219"/>
      <c r="H17" s="220"/>
      <c r="K17" s="221" t="s">
        <v>8</v>
      </c>
      <c r="L17" s="222"/>
    </row>
    <row r="18" spans="2:18">
      <c r="B18" s="12"/>
      <c r="C18" s="12"/>
    </row>
    <row r="19" spans="2:18" ht="15" thickBot="1">
      <c r="B19" s="12"/>
      <c r="C19" s="12"/>
    </row>
    <row r="20" spans="2:18" ht="18.600000000000001" thickBot="1">
      <c r="B20" s="195" t="s">
        <v>106</v>
      </c>
      <c r="C20" s="196"/>
      <c r="D20" s="188" t="s">
        <v>131</v>
      </c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90"/>
    </row>
    <row r="22" spans="2:18" ht="15" thickBot="1"/>
    <row r="23" spans="2:18" ht="21" thickBot="1">
      <c r="B23" s="197" t="s">
        <v>2</v>
      </c>
      <c r="C23" s="206"/>
      <c r="D23" s="206"/>
      <c r="E23" s="206"/>
      <c r="F23" s="207"/>
    </row>
    <row r="24" spans="2:18" ht="16.2" customHeight="1" thickBot="1">
      <c r="B24" s="200" t="s">
        <v>12</v>
      </c>
      <c r="C24" s="293" t="s">
        <v>119</v>
      </c>
      <c r="D24" s="295" t="s">
        <v>17</v>
      </c>
      <c r="E24" s="297">
        <f>ROUNDUP(E66,0)</f>
        <v>27</v>
      </c>
      <c r="F24" s="273" t="s">
        <v>93</v>
      </c>
    </row>
    <row r="25" spans="2:18" ht="16.2" customHeight="1" thickBot="1">
      <c r="B25" s="201"/>
      <c r="C25" s="294"/>
      <c r="D25" s="296"/>
      <c r="E25" s="298"/>
      <c r="F25" s="274"/>
      <c r="I25" s="202" t="s">
        <v>18</v>
      </c>
      <c r="J25" s="203"/>
    </row>
    <row r="26" spans="2:18" ht="15" thickBot="1">
      <c r="B26" s="209" t="s">
        <v>19</v>
      </c>
      <c r="C26" s="24" t="s">
        <v>20</v>
      </c>
      <c r="D26" s="35" t="s">
        <v>21</v>
      </c>
      <c r="E26" s="41">
        <v>0.45</v>
      </c>
      <c r="F26" s="51" t="s">
        <v>22</v>
      </c>
      <c r="I26" s="211" t="s">
        <v>23</v>
      </c>
      <c r="J26" s="37">
        <v>500</v>
      </c>
      <c r="L26" s="213" t="s">
        <v>40</v>
      </c>
      <c r="M26" s="37" t="s">
        <v>25</v>
      </c>
      <c r="N26" s="37" t="s">
        <v>23</v>
      </c>
    </row>
    <row r="27" spans="2:18" ht="15" thickBot="1">
      <c r="B27" s="210"/>
      <c r="C27" s="24" t="s">
        <v>26</v>
      </c>
      <c r="D27" s="35" t="s">
        <v>27</v>
      </c>
      <c r="E27" s="41">
        <v>0.15</v>
      </c>
      <c r="F27" s="51" t="s">
        <v>22</v>
      </c>
      <c r="I27" s="212"/>
      <c r="J27" s="37">
        <v>400</v>
      </c>
      <c r="L27" s="214"/>
      <c r="M27" s="37">
        <v>1</v>
      </c>
      <c r="N27" s="37">
        <v>1.5</v>
      </c>
    </row>
    <row r="28" spans="2:18" ht="15.6" thickBot="1">
      <c r="B28" s="215" t="s">
        <v>28</v>
      </c>
      <c r="C28" s="24" t="s">
        <v>29</v>
      </c>
      <c r="D28" s="40" t="s">
        <v>30</v>
      </c>
      <c r="E28" s="41">
        <v>25</v>
      </c>
      <c r="F28" s="51" t="s">
        <v>31</v>
      </c>
      <c r="I28" s="211" t="s">
        <v>25</v>
      </c>
      <c r="J28" s="37">
        <v>215</v>
      </c>
    </row>
    <row r="29" spans="2:18" ht="15" customHeight="1" thickBot="1">
      <c r="B29" s="216"/>
      <c r="C29" s="239"/>
      <c r="D29" s="40" t="s">
        <v>32</v>
      </c>
      <c r="E29" s="41">
        <v>1</v>
      </c>
      <c r="I29" s="212"/>
      <c r="J29" s="38">
        <v>235</v>
      </c>
    </row>
    <row r="30" spans="2:18" ht="15" customHeight="1" thickBot="1">
      <c r="B30" s="217"/>
      <c r="C30" s="240"/>
      <c r="D30" s="40" t="s">
        <v>33</v>
      </c>
      <c r="E30" s="41">
        <v>1.5</v>
      </c>
    </row>
    <row r="31" spans="2:18" ht="15.6" thickBot="1">
      <c r="B31" s="215" t="s">
        <v>34</v>
      </c>
      <c r="C31" s="24" t="s">
        <v>35</v>
      </c>
      <c r="D31" s="40" t="s">
        <v>36</v>
      </c>
      <c r="E31" s="41">
        <v>400</v>
      </c>
      <c r="F31" s="51" t="s">
        <v>31</v>
      </c>
      <c r="K31" s="36" t="s">
        <v>37</v>
      </c>
    </row>
    <row r="32" spans="2:18" ht="15.6" thickBot="1">
      <c r="B32" s="216"/>
      <c r="C32" s="24" t="s">
        <v>38</v>
      </c>
      <c r="D32" s="40" t="s">
        <v>38</v>
      </c>
      <c r="E32" s="41">
        <v>1.1499999999999999</v>
      </c>
      <c r="I32" s="241" t="s">
        <v>39</v>
      </c>
      <c r="J32" s="242"/>
      <c r="K32" s="37">
        <v>1.2</v>
      </c>
    </row>
    <row r="33" spans="2:11" ht="15.6" thickBot="1">
      <c r="B33" s="217"/>
      <c r="C33" s="24" t="s">
        <v>40</v>
      </c>
      <c r="D33" s="40" t="s">
        <v>40</v>
      </c>
      <c r="E33" s="41">
        <v>1.5</v>
      </c>
      <c r="I33" s="241" t="s">
        <v>41</v>
      </c>
      <c r="J33" s="242"/>
      <c r="K33" s="37">
        <v>1.1000000000000001</v>
      </c>
    </row>
    <row r="34" spans="2:11" ht="15" customHeight="1" thickBot="1">
      <c r="B34" s="21" t="s">
        <v>42</v>
      </c>
      <c r="C34" s="243" t="s">
        <v>120</v>
      </c>
      <c r="D34" s="40" t="s">
        <v>43</v>
      </c>
      <c r="E34" s="41">
        <v>3.2</v>
      </c>
      <c r="F34" s="51" t="s">
        <v>15</v>
      </c>
      <c r="I34" s="241" t="s">
        <v>44</v>
      </c>
      <c r="J34" s="242"/>
      <c r="K34" s="37">
        <v>1</v>
      </c>
    </row>
    <row r="35" spans="2:11" ht="14.4" customHeight="1">
      <c r="B35" s="21" t="s">
        <v>45</v>
      </c>
      <c r="C35" s="244"/>
      <c r="D35" s="40" t="s">
        <v>46</v>
      </c>
      <c r="E35" s="22">
        <v>1</v>
      </c>
    </row>
    <row r="36" spans="2:11">
      <c r="B36" s="209" t="s">
        <v>47</v>
      </c>
      <c r="C36" s="25" t="s">
        <v>48</v>
      </c>
      <c r="D36" s="247" t="s">
        <v>49</v>
      </c>
      <c r="E36" s="249">
        <v>1</v>
      </c>
    </row>
    <row r="37" spans="2:11" ht="15" thickBot="1">
      <c r="B37" s="245"/>
      <c r="C37" s="25" t="s">
        <v>50</v>
      </c>
      <c r="D37" s="247"/>
      <c r="E37" s="249"/>
    </row>
    <row r="38" spans="2:11" ht="15" thickBot="1">
      <c r="B38" s="246"/>
      <c r="C38" s="26" t="s">
        <v>51</v>
      </c>
      <c r="D38" s="248"/>
      <c r="E38" s="250"/>
      <c r="I38" s="204" t="s">
        <v>101</v>
      </c>
      <c r="J38" s="205"/>
      <c r="K38" s="37">
        <v>1</v>
      </c>
    </row>
    <row r="39" spans="2:11" ht="15" thickBot="1">
      <c r="I39" s="204" t="s">
        <v>102</v>
      </c>
      <c r="J39" s="205"/>
      <c r="K39" s="37">
        <v>0.5</v>
      </c>
    </row>
    <row r="40" spans="2:11" ht="21" thickBot="1">
      <c r="B40" s="197" t="s">
        <v>54</v>
      </c>
      <c r="C40" s="198"/>
      <c r="D40" s="198"/>
      <c r="E40" s="198"/>
      <c r="F40" s="199"/>
      <c r="I40" s="204" t="s">
        <v>103</v>
      </c>
      <c r="J40" s="205"/>
      <c r="K40" s="37">
        <v>0.7</v>
      </c>
    </row>
    <row r="41" spans="2:11" ht="15.6" thickBot="1">
      <c r="B41" s="200" t="s">
        <v>19</v>
      </c>
      <c r="C41" s="24" t="s">
        <v>56</v>
      </c>
      <c r="D41" s="40" t="s">
        <v>57</v>
      </c>
      <c r="E41" s="48">
        <f>1.35*E26+1.5*E27</f>
        <v>0.83250000000000002</v>
      </c>
      <c r="F41" s="50" t="s">
        <v>22</v>
      </c>
      <c r="I41" s="204" t="s">
        <v>104</v>
      </c>
      <c r="J41" s="205"/>
      <c r="K41" s="37">
        <v>2</v>
      </c>
    </row>
    <row r="42" spans="2:11" ht="15.6" thickBot="1">
      <c r="B42" s="201"/>
      <c r="C42" s="24" t="s">
        <v>59</v>
      </c>
      <c r="D42" s="40" t="s">
        <v>60</v>
      </c>
      <c r="E42" s="48">
        <f>E26+E27</f>
        <v>0.6</v>
      </c>
      <c r="F42" s="50" t="s">
        <v>22</v>
      </c>
    </row>
    <row r="43" spans="2:11" ht="15.6" thickBot="1">
      <c r="B43" s="200" t="s">
        <v>28</v>
      </c>
      <c r="C43" s="24" t="s">
        <v>61</v>
      </c>
      <c r="D43" s="40" t="s">
        <v>62</v>
      </c>
      <c r="E43" s="48">
        <f>0.6+0.06*E28</f>
        <v>2.1</v>
      </c>
      <c r="F43" s="50" t="s">
        <v>31</v>
      </c>
    </row>
    <row r="44" spans="2:11" ht="22.8" customHeight="1" thickBot="1">
      <c r="B44" s="201"/>
      <c r="C44" s="24" t="s">
        <v>63</v>
      </c>
      <c r="D44" s="40" t="s">
        <v>64</v>
      </c>
      <c r="E44" s="48">
        <f>(0.85*E28)/(E29*E30)</f>
        <v>14.166666666666666</v>
      </c>
      <c r="F44" s="50" t="s">
        <v>31</v>
      </c>
    </row>
    <row r="45" spans="2:11" ht="15.6" thickBot="1">
      <c r="B45" s="200" t="s">
        <v>65</v>
      </c>
      <c r="C45" s="24" t="s">
        <v>66</v>
      </c>
      <c r="D45" s="40" t="s">
        <v>66</v>
      </c>
      <c r="E45" s="48">
        <f>E31/E32</f>
        <v>347.82608695652175</v>
      </c>
      <c r="F45" s="50" t="s">
        <v>31</v>
      </c>
    </row>
    <row r="46" spans="2:11" ht="15.6" thickBot="1">
      <c r="B46" s="201"/>
      <c r="C46" s="24" t="s">
        <v>67</v>
      </c>
      <c r="D46" s="40" t="s">
        <v>67</v>
      </c>
      <c r="E46" s="48">
        <f>0.6*E33^2*E43</f>
        <v>2.835</v>
      </c>
      <c r="F46" s="50" t="s">
        <v>31</v>
      </c>
    </row>
    <row r="47" spans="2:11" ht="15" thickBot="1">
      <c r="B47" s="209" t="s">
        <v>121</v>
      </c>
      <c r="C47" s="290" t="s">
        <v>122</v>
      </c>
      <c r="D47" s="291"/>
      <c r="E47" s="291"/>
      <c r="F47" s="292"/>
    </row>
    <row r="48" spans="2:11" ht="15.6" thickBot="1">
      <c r="B48" s="245"/>
      <c r="C48" s="65" t="s">
        <v>123</v>
      </c>
      <c r="D48" s="77" t="s">
        <v>71</v>
      </c>
      <c r="E48" s="76">
        <v>50</v>
      </c>
    </row>
    <row r="49" spans="2:6" ht="15.6" thickBot="1">
      <c r="B49" s="245"/>
      <c r="C49" s="275"/>
      <c r="D49" s="75" t="s">
        <v>74</v>
      </c>
      <c r="E49" s="61">
        <f>1+0.2*(E48/35)^2</f>
        <v>1.4081632653061225</v>
      </c>
    </row>
    <row r="50" spans="2:6" ht="15.6" thickBot="1">
      <c r="B50" s="245"/>
      <c r="C50" s="276"/>
      <c r="D50" s="40" t="s">
        <v>76</v>
      </c>
      <c r="E50" s="72">
        <f>((E36*E49*E41)/(E29*(E44/0.9)+0.85*(E45/100)))*10^4</f>
        <v>626.98799871339463</v>
      </c>
      <c r="F50" s="73" t="s">
        <v>87</v>
      </c>
    </row>
    <row r="51" spans="2:6" ht="18.600000000000001" thickBot="1">
      <c r="B51" s="246"/>
      <c r="C51" s="277"/>
      <c r="D51" s="62" t="s">
        <v>124</v>
      </c>
      <c r="E51" s="72">
        <f>SQRT(E50)+2</f>
        <v>27.039728407340895</v>
      </c>
      <c r="F51" s="73" t="s">
        <v>93</v>
      </c>
    </row>
    <row r="52" spans="2:6" ht="15.6" thickBot="1">
      <c r="B52" s="209" t="s">
        <v>125</v>
      </c>
      <c r="C52" s="65" t="s">
        <v>69</v>
      </c>
      <c r="D52" s="64" t="s">
        <v>70</v>
      </c>
      <c r="E52" s="72">
        <f>E34*E35</f>
        <v>3.2</v>
      </c>
      <c r="F52" s="73" t="s">
        <v>15</v>
      </c>
    </row>
    <row r="53" spans="2:6" ht="15">
      <c r="B53" s="245"/>
      <c r="C53" s="275"/>
      <c r="D53" s="40" t="s">
        <v>71</v>
      </c>
      <c r="E53" s="48">
        <f>(SQRT(12)*E52)/(E51*10^-2)</f>
        <v>40.995697151423172</v>
      </c>
    </row>
    <row r="54" spans="2:6" ht="15.6" thickBot="1">
      <c r="B54" s="245"/>
      <c r="C54" s="276"/>
      <c r="D54" s="40" t="s">
        <v>74</v>
      </c>
      <c r="E54" s="48">
        <f>1+0.2*(E53/35)^2</f>
        <v>1.2743913771316255</v>
      </c>
    </row>
    <row r="55" spans="2:6" ht="15.6" thickBot="1">
      <c r="B55" s="245"/>
      <c r="C55" s="276"/>
      <c r="D55" s="40" t="s">
        <v>76</v>
      </c>
      <c r="E55" s="72">
        <f>((E36*E54*E41)/(E29*(E44/0.9)+0.85*(E45/100)))*10^4</f>
        <v>567.4257515527953</v>
      </c>
      <c r="F55" s="73" t="s">
        <v>87</v>
      </c>
    </row>
    <row r="56" spans="2:6" ht="18.600000000000001" thickBot="1">
      <c r="B56" s="246"/>
      <c r="C56" s="277"/>
      <c r="D56" s="68" t="s">
        <v>124</v>
      </c>
      <c r="E56" s="74">
        <f>SQRT(E55)+2</f>
        <v>25.820700064288523</v>
      </c>
      <c r="F56" s="73" t="s">
        <v>93</v>
      </c>
    </row>
    <row r="57" spans="2:6" ht="15.6" thickBot="1">
      <c r="B57" s="209" t="s">
        <v>126</v>
      </c>
      <c r="C57" s="65" t="s">
        <v>69</v>
      </c>
      <c r="D57" s="64" t="s">
        <v>70</v>
      </c>
      <c r="E57" s="72">
        <f>E35*E34</f>
        <v>3.2</v>
      </c>
      <c r="F57" s="73" t="s">
        <v>15</v>
      </c>
    </row>
    <row r="58" spans="2:6" ht="15">
      <c r="B58" s="245"/>
      <c r="C58" s="287"/>
      <c r="D58" s="40" t="s">
        <v>71</v>
      </c>
      <c r="E58" s="48">
        <f>(SQRT(12)*E57)/(E56*10^-2)</f>
        <v>42.931156555945449</v>
      </c>
    </row>
    <row r="59" spans="2:6" ht="15.6" thickBot="1">
      <c r="B59" s="245"/>
      <c r="C59" s="288"/>
      <c r="D59" s="40" t="s">
        <v>74</v>
      </c>
      <c r="E59" s="48">
        <f>1+0.2*(E58/35)^2</f>
        <v>1.3009117066499751</v>
      </c>
    </row>
    <row r="60" spans="2:6" ht="15.6" thickBot="1">
      <c r="B60" s="245"/>
      <c r="C60" s="288"/>
      <c r="D60" s="40" t="s">
        <v>76</v>
      </c>
      <c r="E60" s="72">
        <f>((E36*E59*E41)/(E29*(E44/0.9)+0.85*(E45/100)))*10^4</f>
        <v>579.23399051173089</v>
      </c>
      <c r="F60" s="73" t="s">
        <v>87</v>
      </c>
    </row>
    <row r="61" spans="2:6" ht="18.600000000000001" thickBot="1">
      <c r="B61" s="246"/>
      <c r="C61" s="289"/>
      <c r="D61" s="68" t="s">
        <v>124</v>
      </c>
      <c r="E61" s="74">
        <f>SQRT(E60)+2</f>
        <v>26.067280496801686</v>
      </c>
      <c r="F61" s="73" t="s">
        <v>93</v>
      </c>
    </row>
    <row r="62" spans="2:6" ht="15.6" thickBot="1">
      <c r="B62" s="209" t="s">
        <v>127</v>
      </c>
      <c r="C62" s="65" t="s">
        <v>69</v>
      </c>
      <c r="D62" s="64" t="s">
        <v>70</v>
      </c>
      <c r="E62" s="72">
        <f>E34*E35</f>
        <v>3.2</v>
      </c>
      <c r="F62" s="73" t="s">
        <v>15</v>
      </c>
    </row>
    <row r="63" spans="2:6" ht="15">
      <c r="B63" s="245"/>
      <c r="C63" s="275"/>
      <c r="D63" s="40" t="s">
        <v>71</v>
      </c>
      <c r="E63" s="48">
        <f>(SQRT(12)*E62)/(E61*10^-2)</f>
        <v>42.52505423341303</v>
      </c>
    </row>
    <row r="64" spans="2:6" ht="15.6" thickBot="1">
      <c r="B64" s="245"/>
      <c r="C64" s="276"/>
      <c r="D64" s="40" t="s">
        <v>74</v>
      </c>
      <c r="E64" s="48">
        <f>1+0.2*(E63/35)^2</f>
        <v>1.2952457530701582</v>
      </c>
    </row>
    <row r="65" spans="2:19" ht="15.6" thickBot="1">
      <c r="B65" s="245"/>
      <c r="C65" s="276"/>
      <c r="D65" s="40" t="s">
        <v>76</v>
      </c>
      <c r="E65" s="72">
        <f>((E36*E64*E41)/(E29*(E44/0.9)+0.85*(E45/100)))*10^4</f>
        <v>576.71121138282069</v>
      </c>
      <c r="F65" s="73" t="s">
        <v>87</v>
      </c>
    </row>
    <row r="66" spans="2:19" ht="18.600000000000001" thickBot="1">
      <c r="B66" s="246"/>
      <c r="C66" s="277"/>
      <c r="D66" s="68" t="s">
        <v>124</v>
      </c>
      <c r="E66" s="74">
        <f>SQRT(E65)+2</f>
        <v>26.014812332866995</v>
      </c>
      <c r="F66" s="73" t="s">
        <v>93</v>
      </c>
    </row>
    <row r="67" spans="2:19" ht="15.6" thickBot="1">
      <c r="B67" s="200" t="s">
        <v>68</v>
      </c>
      <c r="C67" s="65" t="s">
        <v>69</v>
      </c>
      <c r="D67" s="64" t="s">
        <v>70</v>
      </c>
      <c r="E67" s="72">
        <f>E34*E35</f>
        <v>3.2</v>
      </c>
      <c r="F67" s="73" t="s">
        <v>15</v>
      </c>
    </row>
    <row r="68" spans="2:19" ht="15.6" thickBot="1">
      <c r="B68" s="201"/>
      <c r="C68" s="66" t="s">
        <v>71</v>
      </c>
      <c r="D68" s="40" t="s">
        <v>72</v>
      </c>
      <c r="E68" s="72">
        <f>(SQRT(12)*E67)/(E24*10^-2)</f>
        <v>41.056019142373387</v>
      </c>
      <c r="F68" s="278" t="str">
        <f>IF(AND(E68&gt;=35,E68&lt;=70),"le poteau est stable","le poteau n'est pas stable")</f>
        <v>le poteau est stable</v>
      </c>
      <c r="G68" s="279"/>
      <c r="H68" s="280"/>
    </row>
    <row r="69" spans="2:19" ht="15.6" thickBot="1">
      <c r="B69" s="21" t="s">
        <v>73</v>
      </c>
      <c r="C69" s="24" t="s">
        <v>74</v>
      </c>
      <c r="D69" s="40" t="s">
        <v>74</v>
      </c>
      <c r="E69" s="48">
        <f>IF(E68&lt;=50,(1+0.2*(E68/35)^2),((0.85*E68^2)/1500))</f>
        <v>1.2751994625010499</v>
      </c>
    </row>
    <row r="70" spans="2:19" ht="15.6" thickBot="1">
      <c r="B70" s="21" t="s">
        <v>75</v>
      </c>
      <c r="C70" s="24" t="s">
        <v>76</v>
      </c>
      <c r="D70" s="40" t="s">
        <v>76</v>
      </c>
      <c r="E70" s="48">
        <f>(E24-2)^2</f>
        <v>625</v>
      </c>
      <c r="F70" s="73" t="s">
        <v>87</v>
      </c>
    </row>
    <row r="71" spans="2:19" ht="15.6" thickBot="1">
      <c r="B71" s="21" t="s">
        <v>77</v>
      </c>
      <c r="C71" s="24" t="s">
        <v>78</v>
      </c>
      <c r="D71" s="40" t="s">
        <v>78</v>
      </c>
      <c r="E71" s="48">
        <f>(E70*10^-4*E44)/0.9</f>
        <v>0.98379629629629628</v>
      </c>
      <c r="F71" s="73" t="s">
        <v>22</v>
      </c>
    </row>
    <row r="72" spans="2:19" ht="15.6" thickBot="1">
      <c r="B72" s="39" t="s">
        <v>79</v>
      </c>
      <c r="C72" s="24" t="s">
        <v>80</v>
      </c>
      <c r="D72" s="40" t="s">
        <v>60</v>
      </c>
      <c r="E72" s="48">
        <f>(E36*E69*E41)-E71</f>
        <v>7.7807256235827849E-2</v>
      </c>
      <c r="F72" s="73" t="s">
        <v>22</v>
      </c>
    </row>
    <row r="73" spans="2:19" ht="21" thickBot="1">
      <c r="B73" s="281" t="s">
        <v>81</v>
      </c>
      <c r="C73" s="71" t="s">
        <v>82</v>
      </c>
      <c r="D73" s="69">
        <f>((E72*10^4)/(0.85*E45))</f>
        <v>2.6317160197412357</v>
      </c>
      <c r="E73" s="67">
        <f>IF(AND(D73&gt;=E74,D73&lt;=E75),D73,0)+IF(D73&lt;E74,E74,0)</f>
        <v>4.32</v>
      </c>
      <c r="F73" s="284" t="str">
        <f>IF(AND(D73&gt;=E74,D73&lt;=E75),"vérifié","non vérifié")</f>
        <v>non vérifié</v>
      </c>
      <c r="I73" s="197" t="s">
        <v>83</v>
      </c>
      <c r="J73" s="206"/>
      <c r="K73" s="206"/>
      <c r="L73" s="206"/>
      <c r="M73" s="206"/>
      <c r="N73" s="206"/>
      <c r="O73" s="206"/>
      <c r="P73" s="206"/>
      <c r="Q73" s="206"/>
      <c r="R73" s="206"/>
      <c r="S73" s="206"/>
    </row>
    <row r="74" spans="2:19">
      <c r="B74" s="282"/>
      <c r="C74" s="266" t="s">
        <v>84</v>
      </c>
      <c r="D74" s="267"/>
      <c r="E74" s="48">
        <f>MAX((4*(E24+E24)*2*10^-2),(0.2*(E24*E24)/100))</f>
        <v>4.32</v>
      </c>
      <c r="F74" s="285"/>
      <c r="I74" s="15" t="s">
        <v>117</v>
      </c>
      <c r="J74" s="13">
        <v>1</v>
      </c>
      <c r="K74" s="13">
        <v>2</v>
      </c>
      <c r="L74" s="13">
        <v>3</v>
      </c>
      <c r="M74" s="13">
        <v>4</v>
      </c>
      <c r="N74" s="13">
        <v>5</v>
      </c>
      <c r="O74" s="13">
        <v>6</v>
      </c>
      <c r="P74" s="13">
        <v>7</v>
      </c>
      <c r="Q74" s="13">
        <v>8</v>
      </c>
      <c r="R74" s="13">
        <v>9</v>
      </c>
      <c r="S74" s="16">
        <v>10</v>
      </c>
    </row>
    <row r="75" spans="2:19" ht="15" thickBot="1">
      <c r="B75" s="282"/>
      <c r="C75" s="266" t="s">
        <v>105</v>
      </c>
      <c r="D75" s="268"/>
      <c r="E75" s="48">
        <f>(5*(E24*E24))/100</f>
        <v>36.450000000000003</v>
      </c>
      <c r="F75" s="286"/>
      <c r="I75" s="15">
        <v>6</v>
      </c>
      <c r="J75" s="13">
        <v>0.28000000000000003</v>
      </c>
      <c r="K75" s="13">
        <v>0.56999999999999995</v>
      </c>
      <c r="L75" s="13">
        <v>0.85</v>
      </c>
      <c r="M75" s="13">
        <v>1.1299999999999999</v>
      </c>
      <c r="N75" s="13">
        <v>1.41</v>
      </c>
      <c r="O75" s="13">
        <v>1.7</v>
      </c>
      <c r="P75" s="13">
        <v>1.98</v>
      </c>
      <c r="Q75" s="13">
        <v>2.2599999999999998</v>
      </c>
      <c r="R75" s="13">
        <v>2.54</v>
      </c>
      <c r="S75" s="16">
        <v>2.54</v>
      </c>
    </row>
    <row r="76" spans="2:19" ht="15" thickBot="1">
      <c r="B76" s="282"/>
      <c r="C76" s="269" t="s">
        <v>86</v>
      </c>
      <c r="D76" s="269"/>
      <c r="E76" s="88"/>
      <c r="F76" s="73" t="s">
        <v>128</v>
      </c>
      <c r="I76" s="15">
        <v>8</v>
      </c>
      <c r="J76" s="13">
        <v>0.5</v>
      </c>
      <c r="K76" s="13">
        <v>1.01</v>
      </c>
      <c r="L76" s="13">
        <v>1.51</v>
      </c>
      <c r="M76" s="13">
        <v>2.0099999999999998</v>
      </c>
      <c r="N76" s="13">
        <v>2.5099999999999998</v>
      </c>
      <c r="O76" s="13">
        <v>3.02</v>
      </c>
      <c r="P76" s="13">
        <v>3.52</v>
      </c>
      <c r="Q76" s="13">
        <v>4.0199999999999996</v>
      </c>
      <c r="R76" s="13">
        <v>4.5199999999999996</v>
      </c>
      <c r="S76" s="16">
        <v>4.5199999999999996</v>
      </c>
    </row>
    <row r="77" spans="2:19" ht="15" thickBot="1">
      <c r="B77" s="283"/>
      <c r="C77" s="269" t="s">
        <v>116</v>
      </c>
      <c r="D77" s="269"/>
      <c r="E77" s="88">
        <v>5</v>
      </c>
      <c r="F77" s="89" t="s">
        <v>23</v>
      </c>
      <c r="G77" s="90">
        <v>12</v>
      </c>
      <c r="I77" s="15">
        <v>10</v>
      </c>
      <c r="J77" s="13">
        <v>0.79</v>
      </c>
      <c r="K77" s="13">
        <v>1.57</v>
      </c>
      <c r="L77" s="13">
        <v>2.36</v>
      </c>
      <c r="M77" s="13">
        <v>3.14</v>
      </c>
      <c r="N77" s="13">
        <v>3.93</v>
      </c>
      <c r="O77" s="13">
        <v>4.71</v>
      </c>
      <c r="P77" s="13">
        <v>5.5</v>
      </c>
      <c r="Q77" s="13">
        <v>6.28</v>
      </c>
      <c r="R77" s="13">
        <v>7.07</v>
      </c>
      <c r="S77" s="16">
        <v>7.07</v>
      </c>
    </row>
    <row r="78" spans="2:19" ht="15" thickBot="1">
      <c r="B78" s="209" t="s">
        <v>88</v>
      </c>
      <c r="C78" s="270" t="s">
        <v>89</v>
      </c>
      <c r="D78" s="268"/>
      <c r="E78" s="48">
        <v>14</v>
      </c>
      <c r="F78" s="73" t="s">
        <v>90</v>
      </c>
      <c r="I78" s="15">
        <v>12</v>
      </c>
      <c r="J78" s="13">
        <v>1.1299999999999999</v>
      </c>
      <c r="K78" s="13">
        <v>2.2599999999999998</v>
      </c>
      <c r="L78" s="13">
        <v>3.39</v>
      </c>
      <c r="M78" s="13">
        <v>4.5199999999999996</v>
      </c>
      <c r="N78" s="13">
        <v>5.65</v>
      </c>
      <c r="O78" s="13">
        <v>6.79</v>
      </c>
      <c r="P78" s="13">
        <v>7.92</v>
      </c>
      <c r="Q78" s="13">
        <v>9.0500000000000007</v>
      </c>
      <c r="R78" s="13">
        <v>10.18</v>
      </c>
      <c r="S78" s="16">
        <v>10.18</v>
      </c>
    </row>
    <row r="79" spans="2:19" ht="15" thickBot="1">
      <c r="B79" s="245"/>
      <c r="C79" s="270" t="s">
        <v>91</v>
      </c>
      <c r="D79" s="268"/>
      <c r="E79" s="48">
        <f>(IF(E78/3&lt;=6,6,0)+IF(AND(E78/3&gt;6,E78/3&lt;=8),8,0)+IF(E78/3&gt;8,10,0))</f>
        <v>6</v>
      </c>
      <c r="F79" s="63" t="str">
        <f>IF(AND(E79&gt;=E78/3,R35&lt;=12),"vérifié","non vérifié")</f>
        <v>vérifié</v>
      </c>
      <c r="I79" s="15">
        <v>14</v>
      </c>
      <c r="J79" s="13">
        <v>1.54</v>
      </c>
      <c r="K79" s="13">
        <v>3.08</v>
      </c>
      <c r="L79" s="13">
        <v>4.62</v>
      </c>
      <c r="M79" s="13">
        <v>6.16</v>
      </c>
      <c r="N79" s="13">
        <v>7.7</v>
      </c>
      <c r="O79" s="13">
        <v>9.24</v>
      </c>
      <c r="P79" s="13">
        <v>10.78</v>
      </c>
      <c r="Q79" s="13">
        <v>12.32</v>
      </c>
      <c r="R79" s="13">
        <v>13.85</v>
      </c>
      <c r="S79" s="16">
        <v>13.85</v>
      </c>
    </row>
    <row r="80" spans="2:19" ht="15" thickBot="1">
      <c r="B80" s="245"/>
      <c r="C80" s="270" t="s">
        <v>92</v>
      </c>
      <c r="D80" s="268"/>
      <c r="E80" s="48">
        <f>IF(E73&gt;E74,1.5*E78,0)+IF(E73&lt;=E74,MIN(40,E24+10,1.5*E78),0)</f>
        <v>21</v>
      </c>
      <c r="F80" s="73" t="s">
        <v>93</v>
      </c>
      <c r="I80" s="15">
        <v>16</v>
      </c>
      <c r="J80" s="13">
        <v>2.0099999999999998</v>
      </c>
      <c r="K80" s="13">
        <v>4.0199999999999996</v>
      </c>
      <c r="L80" s="13">
        <v>6.03</v>
      </c>
      <c r="M80" s="13">
        <v>8.0399999999999991</v>
      </c>
      <c r="N80" s="13">
        <v>10.5</v>
      </c>
      <c r="O80" s="13">
        <v>12.06</v>
      </c>
      <c r="P80" s="13">
        <v>14.07</v>
      </c>
      <c r="Q80" s="13">
        <v>16.079999999999998</v>
      </c>
      <c r="R80" s="13">
        <v>18.100000000000001</v>
      </c>
      <c r="S80" s="16">
        <v>18.100000000000001</v>
      </c>
    </row>
    <row r="81" spans="2:19" ht="15" thickBot="1">
      <c r="B81" s="245"/>
      <c r="C81" s="270" t="s">
        <v>94</v>
      </c>
      <c r="D81" s="268"/>
      <c r="E81" s="48">
        <f>(E78*10^-1/4)*(E31/E46)</f>
        <v>49.382716049382722</v>
      </c>
      <c r="F81" s="73" t="s">
        <v>93</v>
      </c>
      <c r="I81" s="15">
        <v>20</v>
      </c>
      <c r="J81" s="13">
        <v>3.14</v>
      </c>
      <c r="K81" s="13">
        <v>6.28</v>
      </c>
      <c r="L81" s="13">
        <v>9.42</v>
      </c>
      <c r="M81" s="13">
        <v>12.57</v>
      </c>
      <c r="N81" s="13">
        <v>15.71</v>
      </c>
      <c r="O81" s="13">
        <v>18.850000000000001</v>
      </c>
      <c r="P81" s="13">
        <v>21.99</v>
      </c>
      <c r="Q81" s="13">
        <v>25.13</v>
      </c>
      <c r="R81" s="13">
        <v>28.27</v>
      </c>
      <c r="S81" s="16">
        <v>28.27</v>
      </c>
    </row>
    <row r="82" spans="2:19" ht="15" thickBot="1">
      <c r="B82" s="246"/>
      <c r="C82" s="270" t="s">
        <v>95</v>
      </c>
      <c r="D82" s="268"/>
      <c r="E82" s="48">
        <f>0.6*E81</f>
        <v>29.629629629629633</v>
      </c>
      <c r="F82" s="73" t="s">
        <v>93</v>
      </c>
      <c r="I82" s="15">
        <v>25</v>
      </c>
      <c r="J82" s="13">
        <v>4.91</v>
      </c>
      <c r="K82" s="13">
        <v>9.82</v>
      </c>
      <c r="L82" s="13">
        <v>14.73</v>
      </c>
      <c r="M82" s="13">
        <v>19.63</v>
      </c>
      <c r="N82" s="13">
        <v>24.54</v>
      </c>
      <c r="O82" s="13">
        <v>29.45</v>
      </c>
      <c r="P82" s="13">
        <v>34.36</v>
      </c>
      <c r="Q82" s="13">
        <v>39.270000000000003</v>
      </c>
      <c r="R82" s="13">
        <v>44.18</v>
      </c>
      <c r="S82" s="16">
        <v>44.18</v>
      </c>
    </row>
    <row r="83" spans="2:19">
      <c r="B83" s="200" t="s">
        <v>96</v>
      </c>
      <c r="C83" s="270" t="s">
        <v>129</v>
      </c>
      <c r="D83" s="268"/>
      <c r="E83" s="48">
        <f>E42/(((E24*100*E24*100)+(15*E76))*10^-4)</f>
        <v>8.2304526748971192E-4</v>
      </c>
      <c r="F83" s="271" t="str">
        <f>IF(E83&lt;=E84,"vérifié","non vérifié")</f>
        <v>vérifié</v>
      </c>
      <c r="I83" s="15">
        <v>35</v>
      </c>
      <c r="J83" s="13">
        <v>8.0399999999999991</v>
      </c>
      <c r="K83" s="13">
        <v>16.079999999999998</v>
      </c>
      <c r="L83" s="13">
        <v>24.13</v>
      </c>
      <c r="M83" s="13">
        <v>32.17</v>
      </c>
      <c r="N83" s="13">
        <v>40.21</v>
      </c>
      <c r="O83" s="13">
        <v>48.25</v>
      </c>
      <c r="P83" s="13">
        <v>56.3</v>
      </c>
      <c r="Q83" s="13">
        <v>64.34</v>
      </c>
      <c r="R83" s="13">
        <v>72.38</v>
      </c>
      <c r="S83" s="16">
        <v>72.38</v>
      </c>
    </row>
    <row r="84" spans="2:19" ht="15" thickBot="1">
      <c r="B84" s="201"/>
      <c r="C84" s="270" t="s">
        <v>130</v>
      </c>
      <c r="D84" s="268"/>
      <c r="E84" s="48">
        <f>0.3*E28</f>
        <v>7.5</v>
      </c>
      <c r="F84" s="272"/>
      <c r="I84" s="17">
        <v>40</v>
      </c>
      <c r="J84" s="14">
        <v>12.57</v>
      </c>
      <c r="K84" s="14">
        <v>25.13</v>
      </c>
      <c r="L84" s="14">
        <v>37.700000000000003</v>
      </c>
      <c r="M84" s="14">
        <v>50.27</v>
      </c>
      <c r="N84" s="14">
        <v>62.83</v>
      </c>
      <c r="O84" s="14">
        <v>75.400000000000006</v>
      </c>
      <c r="P84" s="14">
        <v>87.96</v>
      </c>
      <c r="Q84" s="14">
        <v>100.53</v>
      </c>
      <c r="R84" s="14">
        <v>113.1</v>
      </c>
      <c r="S84" s="18">
        <v>113.1</v>
      </c>
    </row>
  </sheetData>
  <sheetProtection formatCells="0" formatColumns="0" formatRows="0" insertColumns="0" insertRows="0" insertHyperlinks="0" deleteColumns="0" deleteRows="0" sort="0" autoFilter="0" pivotTables="0"/>
  <mergeCells count="67">
    <mergeCell ref="I8:I11"/>
    <mergeCell ref="F3:L3"/>
    <mergeCell ref="N3:P3"/>
    <mergeCell ref="H4:J4"/>
    <mergeCell ref="N4:P4"/>
    <mergeCell ref="N6:P6"/>
    <mergeCell ref="F17:H17"/>
    <mergeCell ref="K17:L17"/>
    <mergeCell ref="B20:C20"/>
    <mergeCell ref="B23:F23"/>
    <mergeCell ref="B24:B25"/>
    <mergeCell ref="I25:J25"/>
    <mergeCell ref="C24:C25"/>
    <mergeCell ref="D24:D25"/>
    <mergeCell ref="E24:E25"/>
    <mergeCell ref="D20:R20"/>
    <mergeCell ref="I26:I27"/>
    <mergeCell ref="L26:L27"/>
    <mergeCell ref="B28:B30"/>
    <mergeCell ref="I28:I29"/>
    <mergeCell ref="C29:C30"/>
    <mergeCell ref="B26:B27"/>
    <mergeCell ref="I32:J32"/>
    <mergeCell ref="I33:J33"/>
    <mergeCell ref="C34:C35"/>
    <mergeCell ref="I34:J34"/>
    <mergeCell ref="B36:B38"/>
    <mergeCell ref="D36:D38"/>
    <mergeCell ref="E36:E38"/>
    <mergeCell ref="I38:J38"/>
    <mergeCell ref="B31:B33"/>
    <mergeCell ref="I39:J39"/>
    <mergeCell ref="B40:F40"/>
    <mergeCell ref="I40:J40"/>
    <mergeCell ref="B41:B42"/>
    <mergeCell ref="I41:J41"/>
    <mergeCell ref="C82:D82"/>
    <mergeCell ref="B57:B61"/>
    <mergeCell ref="C58:C61"/>
    <mergeCell ref="B45:B46"/>
    <mergeCell ref="B43:B44"/>
    <mergeCell ref="B47:B51"/>
    <mergeCell ref="C47:F47"/>
    <mergeCell ref="C49:C51"/>
    <mergeCell ref="B52:B56"/>
    <mergeCell ref="C53:C56"/>
    <mergeCell ref="B83:B84"/>
    <mergeCell ref="C83:D83"/>
    <mergeCell ref="F83:F84"/>
    <mergeCell ref="C84:D84"/>
    <mergeCell ref="F24:F25"/>
    <mergeCell ref="C78:D78"/>
    <mergeCell ref="C79:D79"/>
    <mergeCell ref="C80:D80"/>
    <mergeCell ref="C81:D81"/>
    <mergeCell ref="B62:B66"/>
    <mergeCell ref="C63:C66"/>
    <mergeCell ref="B67:B68"/>
    <mergeCell ref="F68:H68"/>
    <mergeCell ref="B73:B77"/>
    <mergeCell ref="F73:F75"/>
    <mergeCell ref="B78:B82"/>
    <mergeCell ref="I73:S73"/>
    <mergeCell ref="C74:D74"/>
    <mergeCell ref="C75:D75"/>
    <mergeCell ref="C76:D76"/>
    <mergeCell ref="C77:D77"/>
  </mergeCells>
  <conditionalFormatting sqref="F68:H68">
    <cfRule type="cellIs" dxfId="2" priority="19" operator="equal">
      <formula>"le poteau n'est pas stable"</formula>
    </cfRule>
    <cfRule type="cellIs" dxfId="1" priority="20" operator="equal">
      <formula>"le poteau est stable"</formula>
    </cfRule>
  </conditionalFormatting>
  <conditionalFormatting sqref="F79">
    <cfRule type="cellIs" dxfId="0" priority="14" operator="equal">
      <formula>"vérifié"</formula>
    </cfRule>
  </conditionalFormatting>
  <conditionalFormatting sqref="B24:B38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41:B4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9:B72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:B68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47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52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57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2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73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78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83:B8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6">
    <dataValidation type="list" allowBlank="1" showInputMessage="1" showErrorMessage="1" prompt="si RL =1_x000a_si HA =1.5" sqref="E33" xr:uid="{00000000-0002-0000-0500-000000000000}">
      <formula1>$N$11:$O$11</formula1>
    </dataValidation>
    <dataValidation type="list" allowBlank="1" showInputMessage="1" showErrorMessage="1" sqref="E36:E38" xr:uid="{00000000-0002-0000-0500-000001000000}">
      <formula1>$L$16:$L$18</formula1>
    </dataValidation>
    <dataValidation type="list" allowBlank="1" showInputMessage="1" showErrorMessage="1" sqref="E35" xr:uid="{00000000-0002-0000-0500-000002000000}">
      <formula1>$L$22:$L$25</formula1>
    </dataValidation>
    <dataValidation type="list" allowBlank="1" showInputMessage="1" showErrorMessage="1" sqref="E31" xr:uid="{00000000-0002-0000-0500-000003000000}">
      <formula1>$K$10:$K$13</formula1>
    </dataValidation>
    <dataValidation type="list" allowBlank="1" showInputMessage="1" showErrorMessage="1" sqref="E77" xr:uid="{00000000-0002-0000-0500-000004000000}">
      <formula1>$J$74:$S$74</formula1>
    </dataValidation>
    <dataValidation type="list" allowBlank="1" showInputMessage="1" showErrorMessage="1" sqref="G77" xr:uid="{00000000-0002-0000-0500-000005000000}">
      <formula1>$I$75:$I$84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B2:S78"/>
  <sheetViews>
    <sheetView topLeftCell="C76" zoomScaleNormal="100" workbookViewId="0">
      <selection activeCell="I31" sqref="I31"/>
    </sheetView>
  </sheetViews>
  <sheetFormatPr defaultColWidth="11.5546875" defaultRowHeight="14.4"/>
  <cols>
    <col min="1" max="1" width="30.21875" style="1" customWidth="1"/>
    <col min="2" max="2" width="29.88671875" style="1" customWidth="1"/>
    <col min="3" max="3" width="33.5546875" style="1" customWidth="1"/>
    <col min="4" max="4" width="16.77734375" style="1" customWidth="1"/>
    <col min="5" max="5" width="17.33203125" style="1" customWidth="1"/>
    <col min="6" max="6" width="15.109375" style="1" customWidth="1"/>
    <col min="7" max="7" width="11.5546875" style="1"/>
    <col min="8" max="8" width="11.77734375" style="1" customWidth="1"/>
    <col min="9" max="9" width="11.5546875" style="1"/>
    <col min="10" max="10" width="5.44140625" style="1" customWidth="1"/>
    <col min="11" max="11" width="4.88671875" style="1" customWidth="1"/>
    <col min="12" max="12" width="5.44140625" style="1" customWidth="1"/>
    <col min="13" max="13" width="1.88671875" style="1" customWidth="1"/>
    <col min="14" max="14" width="10.44140625" style="1" customWidth="1"/>
    <col min="15" max="15" width="11.5546875" style="1" customWidth="1"/>
    <col min="16" max="16384" width="11.5546875" style="1"/>
  </cols>
  <sheetData>
    <row r="2" spans="2:16" ht="15" thickBot="1"/>
    <row r="3" spans="2:16" ht="33.6" customHeight="1" thickBot="1">
      <c r="C3" s="59" t="s">
        <v>118</v>
      </c>
      <c r="D3" s="60">
        <v>43948</v>
      </c>
      <c r="F3" s="233" t="s">
        <v>296</v>
      </c>
      <c r="G3" s="234"/>
      <c r="H3" s="234"/>
      <c r="I3" s="234"/>
      <c r="J3" s="234"/>
      <c r="K3" s="234"/>
      <c r="L3" s="235"/>
      <c r="N3" s="223" t="s">
        <v>1</v>
      </c>
      <c r="O3" s="224"/>
      <c r="P3" s="225"/>
    </row>
    <row r="4" spans="2:16" ht="24" thickBot="1">
      <c r="H4" s="236" t="s">
        <v>0</v>
      </c>
      <c r="I4" s="237"/>
      <c r="J4" s="238"/>
      <c r="N4" s="226" t="s">
        <v>10</v>
      </c>
      <c r="O4" s="227"/>
      <c r="P4" s="228"/>
    </row>
    <row r="5" spans="2:16" ht="15" thickBot="1">
      <c r="N5" s="2"/>
      <c r="O5" s="3"/>
      <c r="P5" s="4"/>
    </row>
    <row r="6" spans="2:16" ht="16.2" thickBot="1">
      <c r="B6" s="12"/>
      <c r="D6" s="54" t="s">
        <v>107</v>
      </c>
      <c r="N6" s="229" t="s">
        <v>11</v>
      </c>
      <c r="O6" s="230"/>
      <c r="P6" s="231"/>
    </row>
    <row r="7" spans="2:16" ht="15" thickBot="1">
      <c r="B7" s="12"/>
      <c r="C7" s="12"/>
      <c r="D7" s="55" t="s">
        <v>108</v>
      </c>
    </row>
    <row r="8" spans="2:16" ht="14.4" customHeight="1" thickBot="1">
      <c r="B8" s="12"/>
      <c r="C8" s="12"/>
      <c r="D8" s="56" t="s">
        <v>109</v>
      </c>
      <c r="I8" s="264" t="s">
        <v>3</v>
      </c>
      <c r="J8" s="46"/>
    </row>
    <row r="9" spans="2:16" ht="14.4" customHeight="1" thickBot="1">
      <c r="B9" s="12"/>
      <c r="C9" s="12"/>
      <c r="D9" s="57" t="s">
        <v>110</v>
      </c>
      <c r="I9" s="264"/>
      <c r="J9" s="46"/>
    </row>
    <row r="10" spans="2:16" ht="14.4" customHeight="1" thickBot="1">
      <c r="B10" s="12"/>
      <c r="C10" s="12"/>
      <c r="D10" s="58" t="s">
        <v>111</v>
      </c>
      <c r="I10" s="264"/>
      <c r="J10" s="46"/>
    </row>
    <row r="11" spans="2:16" ht="14.4" customHeight="1">
      <c r="B11" s="12"/>
      <c r="C11" s="12"/>
      <c r="I11" s="264"/>
      <c r="J11" s="46"/>
    </row>
    <row r="12" spans="2:16" ht="14.4" customHeight="1">
      <c r="B12" s="12"/>
      <c r="C12" s="12"/>
      <c r="I12" s="46"/>
      <c r="J12" s="46"/>
    </row>
    <row r="13" spans="2:16" ht="14.4" customHeight="1">
      <c r="B13" s="12"/>
      <c r="C13" s="12"/>
      <c r="I13" s="46"/>
      <c r="J13" s="46"/>
    </row>
    <row r="14" spans="2:16">
      <c r="B14" s="12"/>
      <c r="C14" s="12"/>
    </row>
    <row r="15" spans="2:16">
      <c r="B15" s="12"/>
      <c r="C15" s="12"/>
    </row>
    <row r="16" spans="2:16" ht="15" thickBot="1">
      <c r="B16" s="12"/>
      <c r="C16" s="12"/>
    </row>
    <row r="17" spans="2:19" ht="15" thickBot="1">
      <c r="B17" s="12"/>
      <c r="C17" s="12"/>
      <c r="F17" s="218" t="s">
        <v>115</v>
      </c>
      <c r="G17" s="219"/>
      <c r="H17" s="220"/>
      <c r="K17" s="221" t="s">
        <v>8</v>
      </c>
      <c r="L17" s="222"/>
    </row>
    <row r="18" spans="2:19">
      <c r="B18" s="12"/>
      <c r="C18" s="12"/>
    </row>
    <row r="19" spans="2:19" ht="15" thickBot="1">
      <c r="B19" s="12"/>
      <c r="C19" s="12"/>
    </row>
    <row r="20" spans="2:19" ht="29.4" customHeight="1" thickBot="1">
      <c r="B20" s="195" t="s">
        <v>106</v>
      </c>
      <c r="C20" s="196"/>
      <c r="D20" s="188" t="s">
        <v>139</v>
      </c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90"/>
    </row>
    <row r="23" spans="2:19" ht="15" thickBot="1"/>
    <row r="24" spans="2:19" ht="21" thickBot="1">
      <c r="B24" s="197" t="s">
        <v>140</v>
      </c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6"/>
      <c r="Q24" s="206"/>
      <c r="R24" s="206"/>
      <c r="S24" s="206"/>
    </row>
    <row r="25" spans="2:19" ht="15" thickBot="1"/>
    <row r="26" spans="2:19" ht="15" thickBot="1">
      <c r="K26" s="185" t="s">
        <v>141</v>
      </c>
      <c r="L26" s="184">
        <v>2.6</v>
      </c>
      <c r="M26" s="92"/>
      <c r="N26" s="106" t="s">
        <v>15</v>
      </c>
    </row>
    <row r="28" spans="2:19" ht="15" thickBot="1"/>
    <row r="29" spans="2:19" ht="15" thickBot="1">
      <c r="C29" s="307" t="s">
        <v>142</v>
      </c>
      <c r="D29" s="308"/>
      <c r="E29" s="308"/>
      <c r="F29" s="309"/>
      <c r="J29" s="313"/>
      <c r="K29" s="314"/>
      <c r="L29" s="314"/>
      <c r="M29" s="314"/>
      <c r="N29" s="314"/>
      <c r="O29" s="315"/>
    </row>
    <row r="30" spans="2:19">
      <c r="C30" s="304" t="s">
        <v>221</v>
      </c>
      <c r="D30" s="305"/>
      <c r="E30" s="306"/>
      <c r="F30" s="45">
        <v>0.5</v>
      </c>
      <c r="J30" s="316"/>
      <c r="K30" s="317"/>
      <c r="L30" s="317"/>
      <c r="M30" s="317"/>
      <c r="N30" s="317"/>
      <c r="O30" s="318"/>
    </row>
    <row r="31" spans="2:19" ht="15" thickBot="1">
      <c r="J31" s="316"/>
      <c r="K31" s="317"/>
      <c r="L31" s="317"/>
      <c r="M31" s="317"/>
      <c r="N31" s="317"/>
      <c r="O31" s="318"/>
    </row>
    <row r="32" spans="2:19" ht="15" thickBot="1">
      <c r="C32" s="307" t="s">
        <v>143</v>
      </c>
      <c r="D32" s="308"/>
      <c r="E32" s="308"/>
      <c r="F32" s="309"/>
      <c r="J32" s="319"/>
      <c r="K32" s="320"/>
      <c r="L32" s="320"/>
      <c r="M32" s="320"/>
      <c r="N32" s="320"/>
      <c r="O32" s="321"/>
    </row>
    <row r="33" spans="3:19" ht="15" thickBot="1">
      <c r="C33" s="301" t="s">
        <v>144</v>
      </c>
      <c r="D33" s="302"/>
      <c r="E33" s="303"/>
      <c r="F33" s="91">
        <v>1</v>
      </c>
      <c r="J33" s="94"/>
      <c r="K33" s="95"/>
      <c r="L33" s="95"/>
      <c r="M33" s="95"/>
      <c r="N33" s="95"/>
      <c r="O33" s="96"/>
    </row>
    <row r="34" spans="3:19" ht="15" thickBot="1">
      <c r="J34" s="97" t="s">
        <v>145</v>
      </c>
      <c r="K34" s="98"/>
      <c r="L34" s="98"/>
      <c r="M34" s="98"/>
      <c r="N34" s="98"/>
      <c r="O34" s="105" t="s">
        <v>146</v>
      </c>
      <c r="Q34" s="185" t="s">
        <v>147</v>
      </c>
      <c r="R34" s="186">
        <v>7</v>
      </c>
      <c r="S34" s="106" t="s">
        <v>15</v>
      </c>
    </row>
    <row r="35" spans="3:19" ht="15" thickBot="1">
      <c r="C35" s="307" t="s">
        <v>148</v>
      </c>
      <c r="D35" s="308"/>
      <c r="E35" s="308"/>
      <c r="F35" s="309"/>
      <c r="J35" s="99"/>
      <c r="K35" s="98"/>
      <c r="L35" s="98"/>
      <c r="M35" s="98"/>
      <c r="N35" s="98"/>
      <c r="O35" s="100"/>
    </row>
    <row r="36" spans="3:19">
      <c r="C36" s="310" t="s">
        <v>149</v>
      </c>
      <c r="D36" s="311"/>
      <c r="E36" s="312"/>
      <c r="F36" s="91">
        <v>0.14000000000000001</v>
      </c>
      <c r="J36" s="101"/>
      <c r="K36" s="102"/>
      <c r="L36" s="102"/>
      <c r="M36" s="102"/>
      <c r="N36" s="102"/>
      <c r="O36" s="103"/>
    </row>
    <row r="37" spans="3:19" ht="15" thickBot="1">
      <c r="J37" s="322"/>
      <c r="K37" s="323"/>
      <c r="L37" s="323"/>
      <c r="M37" s="323"/>
      <c r="N37" s="323"/>
      <c r="O37" s="324"/>
    </row>
    <row r="38" spans="3:19" ht="15" thickBot="1">
      <c r="C38" s="307" t="s">
        <v>35</v>
      </c>
      <c r="D38" s="308"/>
      <c r="E38" s="308"/>
      <c r="F38" s="309"/>
      <c r="J38" s="316"/>
      <c r="K38" s="317"/>
      <c r="L38" s="317"/>
      <c r="M38" s="317"/>
      <c r="N38" s="317"/>
      <c r="O38" s="318"/>
    </row>
    <row r="39" spans="3:19">
      <c r="C39" s="301" t="s">
        <v>150</v>
      </c>
      <c r="D39" s="302"/>
      <c r="E39" s="303"/>
      <c r="F39" s="91">
        <v>500</v>
      </c>
      <c r="J39" s="316"/>
      <c r="K39" s="317"/>
      <c r="L39" s="317"/>
      <c r="M39" s="317"/>
      <c r="N39" s="317"/>
      <c r="O39" s="318"/>
    </row>
    <row r="40" spans="3:19" ht="15" thickBot="1">
      <c r="J40" s="325"/>
      <c r="K40" s="326"/>
      <c r="L40" s="326"/>
      <c r="M40" s="326"/>
      <c r="N40" s="326"/>
      <c r="O40" s="327"/>
    </row>
    <row r="41" spans="3:19" ht="15" thickBot="1">
      <c r="C41" s="307" t="s">
        <v>151</v>
      </c>
      <c r="D41" s="308"/>
      <c r="E41" s="308"/>
      <c r="F41" s="309"/>
    </row>
    <row r="42" spans="3:19" ht="15" thickBot="1">
      <c r="C42" s="301" t="s">
        <v>152</v>
      </c>
      <c r="D42" s="302"/>
      <c r="E42" s="303"/>
      <c r="F42" s="91">
        <v>25</v>
      </c>
    </row>
    <row r="43" spans="3:19" ht="15" thickBot="1">
      <c r="H43" s="340" t="s">
        <v>153</v>
      </c>
      <c r="I43" s="341"/>
      <c r="J43" s="1" t="s">
        <v>145</v>
      </c>
      <c r="O43" s="1" t="s">
        <v>146</v>
      </c>
      <c r="Q43" s="339" t="s">
        <v>154</v>
      </c>
      <c r="R43" s="339"/>
    </row>
    <row r="44" spans="3:19" ht="15" thickBot="1">
      <c r="C44" s="307" t="s">
        <v>155</v>
      </c>
      <c r="D44" s="308"/>
      <c r="E44" s="308"/>
      <c r="F44" s="309"/>
      <c r="H44" s="110">
        <v>0.2</v>
      </c>
      <c r="I44" s="111" t="s">
        <v>156</v>
      </c>
      <c r="Q44" s="107">
        <v>0.5</v>
      </c>
      <c r="R44" s="104" t="s">
        <v>156</v>
      </c>
    </row>
    <row r="45" spans="3:19" ht="15" thickBot="1">
      <c r="C45" s="301" t="s">
        <v>157</v>
      </c>
      <c r="D45" s="302"/>
      <c r="E45" s="303"/>
      <c r="F45" s="91">
        <v>5</v>
      </c>
    </row>
    <row r="46" spans="3:19" ht="15" thickBot="1">
      <c r="H46" s="340" t="s">
        <v>158</v>
      </c>
      <c r="I46" s="341"/>
      <c r="Q46" s="339" t="s">
        <v>159</v>
      </c>
      <c r="R46" s="339"/>
    </row>
    <row r="47" spans="3:19" ht="15" thickBot="1">
      <c r="C47" s="307" t="s">
        <v>160</v>
      </c>
      <c r="D47" s="308"/>
      <c r="E47" s="308"/>
      <c r="F47" s="309"/>
      <c r="H47" s="110"/>
      <c r="I47" s="112" t="s">
        <v>161</v>
      </c>
      <c r="Q47" s="108"/>
      <c r="R47" s="109" t="s">
        <v>161</v>
      </c>
    </row>
    <row r="48" spans="3:19" ht="15" thickBot="1">
      <c r="C48" s="310" t="s">
        <v>162</v>
      </c>
      <c r="D48" s="311"/>
      <c r="E48" s="312"/>
      <c r="F48" s="91">
        <v>3</v>
      </c>
    </row>
    <row r="49" spans="2:19" ht="15" thickBot="1">
      <c r="J49" s="204" t="s">
        <v>163</v>
      </c>
      <c r="K49" s="398"/>
      <c r="L49" s="398"/>
      <c r="M49" s="205"/>
      <c r="N49" s="114">
        <f>P55</f>
        <v>10.900500000000001</v>
      </c>
      <c r="O49" s="113" t="s">
        <v>161</v>
      </c>
    </row>
    <row r="51" spans="2:19" ht="15" thickBot="1"/>
    <row r="52" spans="2:19" ht="29.4" customHeight="1" thickBot="1">
      <c r="B52" s="197" t="s">
        <v>164</v>
      </c>
      <c r="C52" s="206"/>
      <c r="D52" s="206"/>
      <c r="E52" s="206"/>
      <c r="F52" s="206"/>
      <c r="G52" s="206"/>
      <c r="H52" s="206"/>
      <c r="I52" s="206"/>
      <c r="J52" s="206"/>
      <c r="K52" s="206"/>
      <c r="L52" s="206"/>
      <c r="M52" s="206"/>
      <c r="N52" s="206"/>
      <c r="O52" s="206"/>
      <c r="P52" s="206"/>
      <c r="Q52" s="206"/>
      <c r="R52" s="206"/>
      <c r="S52" s="206"/>
    </row>
    <row r="53" spans="2:19" ht="28.8" customHeight="1" thickBot="1">
      <c r="B53" s="328" t="s">
        <v>165</v>
      </c>
      <c r="C53" s="329"/>
      <c r="D53" s="329"/>
      <c r="E53" s="329"/>
      <c r="F53" s="330"/>
      <c r="G53" s="331" t="s">
        <v>166</v>
      </c>
      <c r="H53" s="332"/>
      <c r="I53" s="332"/>
      <c r="J53" s="332"/>
      <c r="K53" s="332"/>
      <c r="L53" s="333"/>
      <c r="M53" s="336" t="s">
        <v>167</v>
      </c>
      <c r="N53" s="337"/>
      <c r="O53" s="338"/>
      <c r="P53" s="299">
        <f>(F36*25)+F30</f>
        <v>4</v>
      </c>
      <c r="Q53" s="300"/>
      <c r="R53" s="357" t="s">
        <v>168</v>
      </c>
      <c r="S53" s="358"/>
    </row>
    <row r="54" spans="2:19" ht="28.8" customHeight="1" thickBot="1">
      <c r="B54" s="328" t="s">
        <v>169</v>
      </c>
      <c r="C54" s="329"/>
      <c r="D54" s="329"/>
      <c r="E54" s="329"/>
      <c r="F54" s="330"/>
      <c r="G54" s="331" t="s">
        <v>170</v>
      </c>
      <c r="H54" s="332"/>
      <c r="I54" s="332"/>
      <c r="J54" s="332"/>
      <c r="K54" s="332"/>
      <c r="L54" s="333"/>
      <c r="M54" s="336" t="s">
        <v>171</v>
      </c>
      <c r="N54" s="337"/>
      <c r="O54" s="338"/>
      <c r="P54" s="299">
        <f>(1.35*P53)+(1.5*F45)</f>
        <v>12.9</v>
      </c>
      <c r="Q54" s="300"/>
      <c r="R54" s="334" t="s">
        <v>172</v>
      </c>
      <c r="S54" s="335"/>
    </row>
    <row r="55" spans="2:19" ht="26.4" customHeight="1" thickBot="1">
      <c r="B55" s="328" t="s">
        <v>173</v>
      </c>
      <c r="C55" s="329"/>
      <c r="D55" s="329"/>
      <c r="E55" s="329"/>
      <c r="F55" s="330"/>
      <c r="G55" s="331" t="s">
        <v>174</v>
      </c>
      <c r="H55" s="332"/>
      <c r="I55" s="332"/>
      <c r="J55" s="332"/>
      <c r="K55" s="332"/>
      <c r="L55" s="333"/>
      <c r="M55" s="336" t="s">
        <v>175</v>
      </c>
      <c r="N55" s="337"/>
      <c r="O55" s="338"/>
      <c r="P55" s="299">
        <f>(P54*L26^2)/8</f>
        <v>10.900500000000001</v>
      </c>
      <c r="Q55" s="300"/>
      <c r="R55" s="334" t="s">
        <v>161</v>
      </c>
      <c r="S55" s="335"/>
    </row>
    <row r="56" spans="2:19" ht="25.2" customHeight="1" thickBot="1">
      <c r="B56" s="328" t="s">
        <v>176</v>
      </c>
      <c r="C56" s="329"/>
      <c r="D56" s="329"/>
      <c r="E56" s="329"/>
      <c r="F56" s="330"/>
      <c r="G56" s="331" t="s">
        <v>177</v>
      </c>
      <c r="H56" s="332"/>
      <c r="I56" s="332"/>
      <c r="J56" s="332"/>
      <c r="K56" s="332"/>
      <c r="L56" s="333"/>
      <c r="M56" s="336" t="s">
        <v>178</v>
      </c>
      <c r="N56" s="337"/>
      <c r="O56" s="338"/>
      <c r="P56" s="299">
        <f>IF(H47=0,M49*H44,H47)</f>
        <v>0</v>
      </c>
      <c r="Q56" s="300"/>
      <c r="R56" s="334" t="s">
        <v>161</v>
      </c>
      <c r="S56" s="335"/>
    </row>
    <row r="57" spans="2:19" ht="27.6" customHeight="1" thickBot="1">
      <c r="B57" s="328" t="s">
        <v>179</v>
      </c>
      <c r="C57" s="329"/>
      <c r="D57" s="329"/>
      <c r="E57" s="329"/>
      <c r="F57" s="330"/>
      <c r="G57" s="331" t="s">
        <v>180</v>
      </c>
      <c r="H57" s="332"/>
      <c r="I57" s="332"/>
      <c r="J57" s="332"/>
      <c r="K57" s="332"/>
      <c r="L57" s="333"/>
      <c r="M57" s="336" t="s">
        <v>181</v>
      </c>
      <c r="N57" s="337"/>
      <c r="O57" s="338"/>
      <c r="P57" s="299">
        <f>IF(Q47=0,M49*Q44,Q47)</f>
        <v>0</v>
      </c>
      <c r="Q57" s="300"/>
      <c r="R57" s="334" t="s">
        <v>161</v>
      </c>
      <c r="S57" s="335"/>
    </row>
    <row r="58" spans="2:19" ht="28.8" customHeight="1" thickBot="1">
      <c r="B58" s="328" t="s">
        <v>222</v>
      </c>
      <c r="C58" s="329"/>
      <c r="D58" s="329"/>
      <c r="E58" s="329"/>
      <c r="F58" s="330"/>
      <c r="G58" s="331" t="s">
        <v>182</v>
      </c>
      <c r="H58" s="332"/>
      <c r="I58" s="332"/>
      <c r="J58" s="332"/>
      <c r="K58" s="332"/>
      <c r="L58" s="333"/>
      <c r="M58" s="336" t="s">
        <v>227</v>
      </c>
      <c r="N58" s="337"/>
      <c r="O58" s="338"/>
      <c r="P58" s="299">
        <f>F45/(P53+F45)</f>
        <v>0.55555555555555558</v>
      </c>
      <c r="Q58" s="300"/>
    </row>
    <row r="59" spans="2:19" ht="27.6" customHeight="1" thickBot="1">
      <c r="B59" s="328" t="s">
        <v>183</v>
      </c>
      <c r="C59" s="329"/>
      <c r="D59" s="329"/>
      <c r="E59" s="329"/>
      <c r="F59" s="330"/>
      <c r="G59" s="331" t="s">
        <v>223</v>
      </c>
      <c r="H59" s="332"/>
      <c r="I59" s="332"/>
      <c r="J59" s="332"/>
      <c r="K59" s="332"/>
      <c r="L59" s="333"/>
      <c r="M59" s="336" t="s">
        <v>228</v>
      </c>
      <c r="N59" s="337"/>
      <c r="O59" s="338"/>
      <c r="P59" s="299">
        <f>MAX(1.05,1+(0.3*P58))</f>
        <v>1.1666666666666667</v>
      </c>
      <c r="Q59" s="300"/>
    </row>
    <row r="60" spans="2:19" ht="27.6" customHeight="1" thickBot="1">
      <c r="B60" s="328" t="s">
        <v>184</v>
      </c>
      <c r="C60" s="329"/>
      <c r="D60" s="329"/>
      <c r="E60" s="329"/>
      <c r="F60" s="330"/>
      <c r="G60" s="390" t="s">
        <v>224</v>
      </c>
      <c r="H60" s="391"/>
      <c r="I60" s="391"/>
      <c r="J60" s="391"/>
      <c r="K60" s="391"/>
      <c r="L60" s="392"/>
      <c r="M60" s="337" t="s">
        <v>185</v>
      </c>
      <c r="N60" s="337"/>
      <c r="O60" s="338"/>
      <c r="P60" s="299">
        <f>((2*P59*P55)-P57-P56)/2</f>
        <v>12.717250000000002</v>
      </c>
      <c r="Q60" s="300"/>
      <c r="R60" s="334" t="s">
        <v>161</v>
      </c>
      <c r="S60" s="335"/>
    </row>
    <row r="61" spans="2:19" ht="16.8" customHeight="1">
      <c r="B61" s="378" t="s">
        <v>186</v>
      </c>
      <c r="C61" s="379"/>
      <c r="D61" s="379"/>
      <c r="E61" s="379"/>
      <c r="F61" s="393"/>
      <c r="G61" s="348" t="s">
        <v>187</v>
      </c>
      <c r="H61" s="349"/>
      <c r="I61" s="349"/>
      <c r="J61" s="349"/>
      <c r="K61" s="349"/>
      <c r="L61" s="350"/>
      <c r="M61" s="359" t="s">
        <v>189</v>
      </c>
      <c r="N61" s="359"/>
      <c r="O61" s="360"/>
      <c r="P61" s="342" t="str">
        <f>IF(F33=1,IF(P60&gt;(((1.2+(0.3*P58))/2)*P55),"Vérifié","Non vérifié"),IF(P60&gt;(((1+(0.3*P58))/2)*P55),"Vérifié","Non vérifié"))</f>
        <v>Vérifié</v>
      </c>
      <c r="Q61" s="342"/>
      <c r="R61" s="342"/>
      <c r="S61" s="343"/>
    </row>
    <row r="62" spans="2:19" ht="15" customHeight="1">
      <c r="B62" s="394"/>
      <c r="C62" s="395"/>
      <c r="D62" s="395"/>
      <c r="E62" s="395"/>
      <c r="F62" s="396"/>
      <c r="G62" s="351" t="s">
        <v>225</v>
      </c>
      <c r="H62" s="352"/>
      <c r="I62" s="352"/>
      <c r="J62" s="352"/>
      <c r="K62" s="352"/>
      <c r="L62" s="353"/>
      <c r="M62" s="361"/>
      <c r="N62" s="361"/>
      <c r="O62" s="362"/>
      <c r="P62" s="344"/>
      <c r="Q62" s="344"/>
      <c r="R62" s="344"/>
      <c r="S62" s="345"/>
    </row>
    <row r="63" spans="2:19" ht="14.4" customHeight="1">
      <c r="B63" s="394"/>
      <c r="C63" s="395"/>
      <c r="D63" s="395"/>
      <c r="E63" s="395"/>
      <c r="F63" s="396"/>
      <c r="G63" s="351" t="s">
        <v>188</v>
      </c>
      <c r="H63" s="352"/>
      <c r="I63" s="352"/>
      <c r="J63" s="352"/>
      <c r="K63" s="352"/>
      <c r="L63" s="353"/>
      <c r="M63" s="361"/>
      <c r="N63" s="361"/>
      <c r="O63" s="362"/>
      <c r="P63" s="344"/>
      <c r="Q63" s="344"/>
      <c r="R63" s="344"/>
      <c r="S63" s="345"/>
    </row>
    <row r="64" spans="2:19" ht="14.4" customHeight="1" thickBot="1">
      <c r="B64" s="381"/>
      <c r="C64" s="382"/>
      <c r="D64" s="382"/>
      <c r="E64" s="382"/>
      <c r="F64" s="397"/>
      <c r="G64" s="354" t="s">
        <v>226</v>
      </c>
      <c r="H64" s="355"/>
      <c r="I64" s="355"/>
      <c r="J64" s="355"/>
      <c r="K64" s="355"/>
      <c r="L64" s="356"/>
      <c r="M64" s="363"/>
      <c r="N64" s="363"/>
      <c r="O64" s="364"/>
      <c r="P64" s="346"/>
      <c r="Q64" s="346"/>
      <c r="R64" s="346"/>
      <c r="S64" s="347"/>
    </row>
    <row r="65" spans="2:19" ht="15" thickBot="1"/>
    <row r="66" spans="2:19" ht="21" thickBot="1">
      <c r="B66" s="197" t="s">
        <v>190</v>
      </c>
      <c r="C66" s="206"/>
      <c r="D66" s="206"/>
      <c r="E66" s="206"/>
      <c r="F66" s="206"/>
      <c r="G66" s="206"/>
      <c r="H66" s="206"/>
      <c r="I66" s="206"/>
      <c r="J66" s="206"/>
      <c r="K66" s="206"/>
      <c r="L66" s="206"/>
      <c r="M66" s="206"/>
      <c r="N66" s="206"/>
      <c r="O66" s="206"/>
      <c r="P66" s="198"/>
      <c r="Q66" s="198"/>
      <c r="R66" s="206"/>
      <c r="S66" s="206"/>
    </row>
    <row r="67" spans="2:19" ht="28.8" customHeight="1" thickBot="1">
      <c r="B67" s="328" t="s">
        <v>191</v>
      </c>
      <c r="C67" s="329"/>
      <c r="D67" s="329"/>
      <c r="E67" s="329"/>
      <c r="F67" s="330"/>
      <c r="G67" s="331" t="s">
        <v>192</v>
      </c>
      <c r="H67" s="332"/>
      <c r="I67" s="332"/>
      <c r="J67" s="332"/>
      <c r="K67" s="332"/>
      <c r="L67" s="333"/>
      <c r="M67" s="365" t="s">
        <v>193</v>
      </c>
      <c r="N67" s="365"/>
      <c r="O67" s="366"/>
      <c r="P67" s="369">
        <f>((391*(P60/1000))/((10*F39)*(((17*((17*(F36-(F48/100))^2*F42)-(60*(P60/1000))))/F42)^0.5+(17*(F36-(F48/100))))))*10000</f>
        <v>2.7657738236743383</v>
      </c>
      <c r="Q67" s="369"/>
      <c r="R67" s="334" t="s">
        <v>194</v>
      </c>
      <c r="S67" s="335"/>
    </row>
    <row r="68" spans="2:19" ht="37.799999999999997" customHeight="1" thickBot="1">
      <c r="B68" s="328" t="s">
        <v>195</v>
      </c>
      <c r="C68" s="329"/>
      <c r="D68" s="329"/>
      <c r="E68" s="329"/>
      <c r="F68" s="330"/>
      <c r="G68" s="331" t="s">
        <v>196</v>
      </c>
      <c r="H68" s="332"/>
      <c r="I68" s="332"/>
      <c r="J68" s="332"/>
      <c r="K68" s="332"/>
      <c r="L68" s="333"/>
      <c r="M68" s="365" t="s">
        <v>197</v>
      </c>
      <c r="N68" s="365"/>
      <c r="O68" s="366"/>
      <c r="P68" s="369">
        <f>((391*(P56/1000))/((10*F39)*(((17*((17*(F36-(F48/100))^2*F42)-(60*(P56/1000))))/F42)^0.5+(17*(F36-(F48/100))))))*10000</f>
        <v>0</v>
      </c>
      <c r="Q68" s="369"/>
      <c r="R68" s="334" t="s">
        <v>194</v>
      </c>
      <c r="S68" s="335"/>
    </row>
    <row r="69" spans="2:19" ht="37.200000000000003" customHeight="1" thickBot="1">
      <c r="B69" s="328" t="s">
        <v>198</v>
      </c>
      <c r="C69" s="329"/>
      <c r="D69" s="329"/>
      <c r="E69" s="329"/>
      <c r="F69" s="330"/>
      <c r="G69" s="331" t="s">
        <v>199</v>
      </c>
      <c r="H69" s="332"/>
      <c r="I69" s="332"/>
      <c r="J69" s="332"/>
      <c r="K69" s="332"/>
      <c r="L69" s="333"/>
      <c r="M69" s="365" t="s">
        <v>200</v>
      </c>
      <c r="N69" s="365"/>
      <c r="O69" s="366"/>
      <c r="P69" s="369">
        <f>((391*(P57/1000))/((10*F39)*(((17*((17*(F36-(F48/100))^2*F42)-(60*(P57/1000))))/F42)^0.5+(17*(F36-(F48/100))))))*10000</f>
        <v>0</v>
      </c>
      <c r="Q69" s="369"/>
      <c r="R69" s="334" t="s">
        <v>194</v>
      </c>
      <c r="S69" s="335"/>
    </row>
    <row r="70" spans="2:19" ht="37.200000000000003" customHeight="1" thickBot="1">
      <c r="B70" s="378" t="s">
        <v>201</v>
      </c>
      <c r="C70" s="379"/>
      <c r="D70" s="379"/>
      <c r="E70" s="379"/>
      <c r="F70" s="380"/>
      <c r="G70" s="331" t="s">
        <v>202</v>
      </c>
      <c r="H70" s="332"/>
      <c r="I70" s="332"/>
      <c r="J70" s="332"/>
      <c r="K70" s="332"/>
      <c r="L70" s="333"/>
      <c r="M70" s="384" t="s">
        <v>204</v>
      </c>
      <c r="N70" s="385"/>
      <c r="O70" s="386"/>
      <c r="P70" s="370">
        <f>IF(F39=400,8*F36,6*F36)</f>
        <v>0.84000000000000008</v>
      </c>
      <c r="Q70" s="371"/>
      <c r="R70" s="374" t="s">
        <v>194</v>
      </c>
      <c r="S70" s="375"/>
    </row>
    <row r="71" spans="2:19" ht="37.200000000000003" customHeight="1" thickBot="1">
      <c r="B71" s="381"/>
      <c r="C71" s="382"/>
      <c r="D71" s="382"/>
      <c r="E71" s="382"/>
      <c r="F71" s="383"/>
      <c r="G71" s="331" t="s">
        <v>203</v>
      </c>
      <c r="H71" s="332"/>
      <c r="I71" s="332"/>
      <c r="J71" s="332"/>
      <c r="K71" s="332"/>
      <c r="L71" s="333"/>
      <c r="M71" s="387"/>
      <c r="N71" s="388"/>
      <c r="O71" s="389"/>
      <c r="P71" s="372"/>
      <c r="Q71" s="373"/>
      <c r="R71" s="376"/>
      <c r="S71" s="377"/>
    </row>
    <row r="72" spans="2:19" ht="37.200000000000003" customHeight="1">
      <c r="B72" s="328" t="s">
        <v>205</v>
      </c>
      <c r="C72" s="329"/>
      <c r="D72" s="329"/>
      <c r="E72" s="329"/>
      <c r="F72" s="330"/>
      <c r="G72" s="331" t="s">
        <v>206</v>
      </c>
      <c r="H72" s="332"/>
      <c r="I72" s="332"/>
      <c r="J72" s="332"/>
      <c r="K72" s="332"/>
      <c r="L72" s="333"/>
      <c r="M72" s="365" t="s">
        <v>207</v>
      </c>
      <c r="N72" s="365"/>
      <c r="O72" s="366"/>
      <c r="P72" s="369">
        <f>P70*((3-P58)/2)</f>
        <v>1.0266666666666668</v>
      </c>
      <c r="Q72" s="369"/>
      <c r="R72" s="334" t="s">
        <v>194</v>
      </c>
      <c r="S72" s="335"/>
    </row>
    <row r="73" spans="2:19" ht="37.200000000000003" customHeight="1" thickBot="1"/>
    <row r="74" spans="2:19" ht="37.200000000000003" customHeight="1" thickBot="1">
      <c r="B74" s="197" t="s">
        <v>208</v>
      </c>
      <c r="C74" s="206"/>
      <c r="D74" s="206"/>
      <c r="E74" s="206"/>
      <c r="F74" s="206"/>
      <c r="G74" s="206"/>
      <c r="H74" s="206"/>
      <c r="I74" s="206"/>
      <c r="J74" s="206"/>
      <c r="K74" s="206"/>
      <c r="L74" s="206"/>
      <c r="M74" s="206"/>
      <c r="N74" s="206"/>
      <c r="O74" s="206"/>
      <c r="P74" s="206"/>
      <c r="Q74" s="206"/>
      <c r="R74" s="206"/>
      <c r="S74" s="206"/>
    </row>
    <row r="75" spans="2:19" ht="37.200000000000003" customHeight="1" thickBot="1">
      <c r="B75" s="328" t="s">
        <v>209</v>
      </c>
      <c r="C75" s="329"/>
      <c r="D75" s="329"/>
      <c r="E75" s="329"/>
      <c r="F75" s="330"/>
      <c r="G75" s="331" t="s">
        <v>210</v>
      </c>
      <c r="H75" s="332"/>
      <c r="I75" s="332"/>
      <c r="J75" s="332"/>
      <c r="K75" s="332"/>
      <c r="L75" s="333"/>
      <c r="M75" s="365" t="s">
        <v>211</v>
      </c>
      <c r="N75" s="365"/>
      <c r="O75" s="366"/>
      <c r="P75" s="369">
        <f>1.1*((P54*L26)/2)</f>
        <v>18.447000000000003</v>
      </c>
      <c r="Q75" s="369"/>
      <c r="R75" s="334" t="s">
        <v>212</v>
      </c>
      <c r="S75" s="335"/>
    </row>
    <row r="76" spans="2:19" ht="37.200000000000003" customHeight="1" thickBot="1">
      <c r="B76" s="328" t="s">
        <v>213</v>
      </c>
      <c r="C76" s="329"/>
      <c r="D76" s="329"/>
      <c r="E76" s="329"/>
      <c r="F76" s="330"/>
      <c r="G76" s="331" t="s">
        <v>214</v>
      </c>
      <c r="H76" s="332"/>
      <c r="I76" s="332"/>
      <c r="J76" s="332"/>
      <c r="K76" s="332"/>
      <c r="L76" s="333"/>
      <c r="M76" s="365" t="s">
        <v>215</v>
      </c>
      <c r="N76" s="365"/>
      <c r="O76" s="366"/>
      <c r="P76" s="369">
        <f>(P75/(F36-(F48/100)))/1000</f>
        <v>0.16769999999999999</v>
      </c>
      <c r="Q76" s="369"/>
      <c r="R76" s="334" t="s">
        <v>31</v>
      </c>
      <c r="S76" s="335"/>
    </row>
    <row r="77" spans="2:19" ht="37.200000000000003" customHeight="1" thickBot="1">
      <c r="B77" s="328" t="s">
        <v>216</v>
      </c>
      <c r="C77" s="329"/>
      <c r="D77" s="329"/>
      <c r="E77" s="329"/>
      <c r="F77" s="330"/>
      <c r="G77" s="331" t="s">
        <v>217</v>
      </c>
      <c r="H77" s="332"/>
      <c r="I77" s="332"/>
      <c r="J77" s="332"/>
      <c r="K77" s="332"/>
      <c r="L77" s="333"/>
      <c r="M77" s="365" t="s">
        <v>218</v>
      </c>
      <c r="N77" s="365"/>
      <c r="O77" s="366"/>
      <c r="P77" s="369">
        <f>(0.07*F42)/1.5</f>
        <v>1.1666666666666667</v>
      </c>
      <c r="Q77" s="369"/>
      <c r="R77" s="334" t="s">
        <v>31</v>
      </c>
      <c r="S77" s="335"/>
    </row>
    <row r="78" spans="2:19" ht="37.200000000000003" customHeight="1">
      <c r="B78" s="328" t="s">
        <v>186</v>
      </c>
      <c r="C78" s="329"/>
      <c r="D78" s="329"/>
      <c r="E78" s="329"/>
      <c r="F78" s="330"/>
      <c r="G78" s="331" t="s">
        <v>219</v>
      </c>
      <c r="H78" s="332"/>
      <c r="I78" s="332"/>
      <c r="J78" s="332"/>
      <c r="K78" s="332"/>
      <c r="L78" s="333"/>
      <c r="M78" s="365" t="s">
        <v>220</v>
      </c>
      <c r="N78" s="365"/>
      <c r="O78" s="366"/>
      <c r="P78" s="367" t="str">
        <f>IF(P76&lt;P77,"Vérifié","Non vérifié")</f>
        <v>Vérifié</v>
      </c>
      <c r="Q78" s="367"/>
      <c r="R78" s="367"/>
      <c r="S78" s="368"/>
    </row>
  </sheetData>
  <sheetProtection formatCells="0" formatColumns="0" formatRows="0" insertColumns="0" insertRows="0" insertHyperlinks="0" deleteColumns="0" deleteRows="0" sort="0" autoFilter="0" pivotTables="0"/>
  <mergeCells count="125">
    <mergeCell ref="B69:F69"/>
    <mergeCell ref="B70:F71"/>
    <mergeCell ref="B72:F72"/>
    <mergeCell ref="B75:F75"/>
    <mergeCell ref="B76:F76"/>
    <mergeCell ref="C36:E36"/>
    <mergeCell ref="M70:O71"/>
    <mergeCell ref="M59:O59"/>
    <mergeCell ref="M60:O60"/>
    <mergeCell ref="G60:L60"/>
    <mergeCell ref="B58:F58"/>
    <mergeCell ref="B59:F59"/>
    <mergeCell ref="B60:F60"/>
    <mergeCell ref="B61:F64"/>
    <mergeCell ref="C44:F44"/>
    <mergeCell ref="M57:O57"/>
    <mergeCell ref="M58:O58"/>
    <mergeCell ref="J49:M49"/>
    <mergeCell ref="P78:S78"/>
    <mergeCell ref="R72:S72"/>
    <mergeCell ref="R75:S75"/>
    <mergeCell ref="R76:S76"/>
    <mergeCell ref="R77:S77"/>
    <mergeCell ref="P59:Q59"/>
    <mergeCell ref="P60:Q60"/>
    <mergeCell ref="P67:Q67"/>
    <mergeCell ref="P68:Q68"/>
    <mergeCell ref="P69:Q69"/>
    <mergeCell ref="P72:Q72"/>
    <mergeCell ref="R67:S67"/>
    <mergeCell ref="R68:S68"/>
    <mergeCell ref="R69:S69"/>
    <mergeCell ref="P70:Q71"/>
    <mergeCell ref="R70:S71"/>
    <mergeCell ref="P75:Q75"/>
    <mergeCell ref="P76:Q76"/>
    <mergeCell ref="P77:Q77"/>
    <mergeCell ref="G77:L77"/>
    <mergeCell ref="G78:L78"/>
    <mergeCell ref="M78:O78"/>
    <mergeCell ref="G67:L67"/>
    <mergeCell ref="G68:L68"/>
    <mergeCell ref="G69:L69"/>
    <mergeCell ref="G70:L70"/>
    <mergeCell ref="G71:L71"/>
    <mergeCell ref="G72:L72"/>
    <mergeCell ref="M75:O75"/>
    <mergeCell ref="M76:O76"/>
    <mergeCell ref="M67:O67"/>
    <mergeCell ref="M68:O68"/>
    <mergeCell ref="M69:O69"/>
    <mergeCell ref="M72:O72"/>
    <mergeCell ref="M77:O77"/>
    <mergeCell ref="C29:F29"/>
    <mergeCell ref="B56:F56"/>
    <mergeCell ref="B57:F57"/>
    <mergeCell ref="Q43:R43"/>
    <mergeCell ref="Q46:R46"/>
    <mergeCell ref="H43:I43"/>
    <mergeCell ref="H46:I46"/>
    <mergeCell ref="P61:S64"/>
    <mergeCell ref="G61:L61"/>
    <mergeCell ref="G62:L62"/>
    <mergeCell ref="G63:L63"/>
    <mergeCell ref="G64:L64"/>
    <mergeCell ref="G53:L53"/>
    <mergeCell ref="G54:L54"/>
    <mergeCell ref="G55:L55"/>
    <mergeCell ref="G56:L56"/>
    <mergeCell ref="G58:L58"/>
    <mergeCell ref="G57:L57"/>
    <mergeCell ref="R53:S53"/>
    <mergeCell ref="R54:S54"/>
    <mergeCell ref="R55:S55"/>
    <mergeCell ref="M61:O64"/>
    <mergeCell ref="P54:Q54"/>
    <mergeCell ref="P55:Q55"/>
    <mergeCell ref="B78:F78"/>
    <mergeCell ref="B74:S74"/>
    <mergeCell ref="G75:L75"/>
    <mergeCell ref="G76:L76"/>
    <mergeCell ref="B66:S66"/>
    <mergeCell ref="B67:F67"/>
    <mergeCell ref="B68:F68"/>
    <mergeCell ref="G59:L59"/>
    <mergeCell ref="C47:F47"/>
    <mergeCell ref="B52:S52"/>
    <mergeCell ref="B53:F53"/>
    <mergeCell ref="B54:F54"/>
    <mergeCell ref="B55:F55"/>
    <mergeCell ref="B77:F77"/>
    <mergeCell ref="P56:Q56"/>
    <mergeCell ref="R56:S56"/>
    <mergeCell ref="R57:S57"/>
    <mergeCell ref="R60:S60"/>
    <mergeCell ref="P57:Q57"/>
    <mergeCell ref="P58:Q58"/>
    <mergeCell ref="M53:O53"/>
    <mergeCell ref="M54:O54"/>
    <mergeCell ref="M55:O55"/>
    <mergeCell ref="M56:O56"/>
    <mergeCell ref="B24:S24"/>
    <mergeCell ref="P53:Q53"/>
    <mergeCell ref="F17:H17"/>
    <mergeCell ref="K17:L17"/>
    <mergeCell ref="B20:C20"/>
    <mergeCell ref="D20:R20"/>
    <mergeCell ref="F3:L3"/>
    <mergeCell ref="N3:P3"/>
    <mergeCell ref="H4:J4"/>
    <mergeCell ref="N4:P4"/>
    <mergeCell ref="N6:P6"/>
    <mergeCell ref="I8:I11"/>
    <mergeCell ref="C33:E33"/>
    <mergeCell ref="C30:E30"/>
    <mergeCell ref="C32:F32"/>
    <mergeCell ref="C35:F35"/>
    <mergeCell ref="C38:F38"/>
    <mergeCell ref="C41:F41"/>
    <mergeCell ref="C45:E45"/>
    <mergeCell ref="C48:E48"/>
    <mergeCell ref="J29:O32"/>
    <mergeCell ref="J37:O40"/>
    <mergeCell ref="C39:E39"/>
    <mergeCell ref="C42:E42"/>
  </mergeCells>
  <conditionalFormatting sqref="B53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54:B61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8:B70 B72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75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76:B78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29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2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5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8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41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44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4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3A4CE-DF25-4D2E-BD0C-9624E8F0DAA3}">
  <sheetPr codeName="Feuil8"/>
  <dimension ref="B2:S82"/>
  <sheetViews>
    <sheetView topLeftCell="D22" zoomScaleNormal="100" workbookViewId="0">
      <selection activeCell="M32" sqref="M32"/>
    </sheetView>
  </sheetViews>
  <sheetFormatPr defaultColWidth="11.5546875" defaultRowHeight="14.4"/>
  <cols>
    <col min="1" max="1" width="30.21875" style="1" customWidth="1"/>
    <col min="2" max="2" width="29.88671875" style="1" customWidth="1"/>
    <col min="3" max="3" width="33.5546875" style="1" customWidth="1"/>
    <col min="4" max="4" width="16.77734375" style="1" customWidth="1"/>
    <col min="5" max="5" width="17.33203125" style="1" customWidth="1"/>
    <col min="6" max="6" width="15.109375" style="1" customWidth="1"/>
    <col min="7" max="7" width="11.5546875" style="1"/>
    <col min="8" max="8" width="11.109375" style="1" customWidth="1"/>
    <col min="9" max="9" width="3.5546875" style="1" customWidth="1"/>
    <col min="10" max="10" width="9.21875" style="1" customWidth="1"/>
    <col min="11" max="11" width="11.5546875" style="1"/>
    <col min="12" max="12" width="7.44140625" style="1" customWidth="1"/>
    <col min="13" max="13" width="10.6640625" style="1" customWidth="1"/>
    <col min="14" max="14" width="11.33203125" style="1" customWidth="1"/>
    <col min="15" max="15" width="8.109375" style="1" customWidth="1"/>
    <col min="16" max="16" width="16.33203125" style="1" customWidth="1"/>
    <col min="17" max="17" width="4.77734375" style="1" customWidth="1"/>
    <col min="18" max="18" width="14.5546875" style="1" customWidth="1"/>
    <col min="19" max="16384" width="11.5546875" style="1"/>
  </cols>
  <sheetData>
    <row r="2" spans="2:16" ht="15" thickBot="1"/>
    <row r="3" spans="2:16" ht="33.6" customHeight="1" thickBot="1">
      <c r="C3" s="59" t="s">
        <v>118</v>
      </c>
      <c r="D3" s="60">
        <v>43948</v>
      </c>
      <c r="F3" s="233" t="s">
        <v>295</v>
      </c>
      <c r="G3" s="234"/>
      <c r="H3" s="234"/>
      <c r="I3" s="234"/>
      <c r="J3" s="234"/>
      <c r="K3" s="234"/>
      <c r="L3" s="235"/>
      <c r="N3" s="223" t="s">
        <v>1</v>
      </c>
      <c r="O3" s="224"/>
      <c r="P3" s="225"/>
    </row>
    <row r="4" spans="2:16" ht="24" thickBot="1">
      <c r="H4" s="236" t="s">
        <v>0</v>
      </c>
      <c r="I4" s="237"/>
      <c r="J4" s="238"/>
      <c r="N4" s="226" t="s">
        <v>10</v>
      </c>
      <c r="O4" s="227"/>
      <c r="P4" s="228"/>
    </row>
    <row r="5" spans="2:16" ht="15" thickBot="1">
      <c r="N5" s="2"/>
      <c r="O5" s="3"/>
      <c r="P5" s="4"/>
    </row>
    <row r="6" spans="2:16" ht="16.2" thickBot="1">
      <c r="B6" s="12"/>
      <c r="D6" s="54" t="s">
        <v>107</v>
      </c>
      <c r="N6" s="229" t="s">
        <v>11</v>
      </c>
      <c r="O6" s="230"/>
      <c r="P6" s="231"/>
    </row>
    <row r="7" spans="2:16" ht="15" thickBot="1">
      <c r="B7" s="12"/>
      <c r="C7" s="12"/>
      <c r="D7" s="55" t="s">
        <v>108</v>
      </c>
    </row>
    <row r="8" spans="2:16" ht="14.4" customHeight="1" thickBot="1">
      <c r="B8" s="12"/>
      <c r="C8" s="12"/>
      <c r="D8" s="56" t="s">
        <v>109</v>
      </c>
      <c r="I8" s="264" t="s">
        <v>3</v>
      </c>
      <c r="J8" s="46"/>
    </row>
    <row r="9" spans="2:16" ht="14.4" customHeight="1" thickBot="1">
      <c r="B9" s="12"/>
      <c r="C9" s="12"/>
      <c r="D9" s="57" t="s">
        <v>110</v>
      </c>
      <c r="I9" s="264"/>
      <c r="J9" s="46"/>
    </row>
    <row r="10" spans="2:16" ht="14.4" customHeight="1" thickBot="1">
      <c r="B10" s="12"/>
      <c r="C10" s="12"/>
      <c r="D10" s="58" t="s">
        <v>111</v>
      </c>
      <c r="I10" s="264"/>
      <c r="J10" s="46"/>
    </row>
    <row r="11" spans="2:16" ht="14.4" customHeight="1">
      <c r="B11" s="12"/>
      <c r="C11" s="12"/>
      <c r="I11" s="264"/>
      <c r="J11" s="46"/>
    </row>
    <row r="12" spans="2:16" ht="14.4" customHeight="1">
      <c r="B12" s="12"/>
      <c r="C12" s="12"/>
      <c r="I12" s="46"/>
      <c r="J12" s="46"/>
    </row>
    <row r="13" spans="2:16" ht="14.4" customHeight="1">
      <c r="B13" s="12"/>
      <c r="C13" s="12"/>
      <c r="I13" s="46"/>
      <c r="J13" s="46"/>
    </row>
    <row r="14" spans="2:16">
      <c r="B14" s="12"/>
      <c r="C14" s="12"/>
    </row>
    <row r="15" spans="2:16">
      <c r="B15" s="12"/>
      <c r="C15" s="12"/>
    </row>
    <row r="16" spans="2:16" ht="15" thickBot="1">
      <c r="B16" s="12"/>
      <c r="C16" s="12"/>
    </row>
    <row r="17" spans="2:19" ht="15" thickBot="1">
      <c r="B17" s="12"/>
      <c r="C17" s="12"/>
      <c r="F17" s="218" t="s">
        <v>115</v>
      </c>
      <c r="G17" s="219"/>
      <c r="H17" s="220"/>
      <c r="K17" s="221" t="s">
        <v>8</v>
      </c>
      <c r="L17" s="222"/>
    </row>
    <row r="18" spans="2:19">
      <c r="B18" s="12"/>
      <c r="C18" s="12"/>
    </row>
    <row r="19" spans="2:19" ht="15" thickBot="1">
      <c r="B19" s="12"/>
      <c r="C19" s="12"/>
    </row>
    <row r="20" spans="2:19" ht="29.4" customHeight="1" thickBot="1">
      <c r="B20" s="195" t="s">
        <v>106</v>
      </c>
      <c r="C20" s="196"/>
      <c r="D20" s="188" t="s">
        <v>294</v>
      </c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90"/>
    </row>
    <row r="23" spans="2:19" ht="15" thickBot="1"/>
    <row r="24" spans="2:19" ht="16.2" thickBot="1">
      <c r="B24" s="115" t="s">
        <v>140</v>
      </c>
      <c r="C24" s="116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7"/>
    </row>
    <row r="26" spans="2:19">
      <c r="M26" s="119" t="s">
        <v>229</v>
      </c>
      <c r="N26" s="93">
        <v>6.7</v>
      </c>
    </row>
    <row r="28" spans="2:19" ht="15" thickBot="1">
      <c r="G28" s="119" t="s">
        <v>231</v>
      </c>
      <c r="H28" s="93">
        <v>0.5</v>
      </c>
      <c r="I28" s="120" t="s">
        <v>232</v>
      </c>
    </row>
    <row r="29" spans="2:19" ht="15" thickBot="1">
      <c r="B29" s="307" t="s">
        <v>230</v>
      </c>
      <c r="C29" s="308"/>
      <c r="D29" s="179" t="s">
        <v>233</v>
      </c>
      <c r="E29" s="180">
        <v>0</v>
      </c>
      <c r="F29" s="183"/>
      <c r="J29" s="172" t="s">
        <v>234</v>
      </c>
      <c r="L29" s="173"/>
      <c r="M29" s="121" t="s">
        <v>234</v>
      </c>
      <c r="N29" s="122"/>
      <c r="O29" s="174"/>
    </row>
    <row r="30" spans="2:19">
      <c r="D30" s="172"/>
      <c r="E30" s="181"/>
      <c r="L30" s="175"/>
      <c r="M30" s="123"/>
      <c r="N30" s="98"/>
      <c r="O30" s="176"/>
    </row>
    <row r="31" spans="2:19" ht="15" thickBot="1">
      <c r="D31" s="172"/>
      <c r="E31" s="181"/>
      <c r="L31" s="175"/>
      <c r="M31" s="123"/>
      <c r="N31" s="98"/>
      <c r="O31" s="176"/>
    </row>
    <row r="32" spans="2:19" ht="15" thickBot="1">
      <c r="B32" s="307" t="s">
        <v>148</v>
      </c>
      <c r="C32" s="308"/>
      <c r="D32" s="182" t="s">
        <v>149</v>
      </c>
      <c r="E32" s="180">
        <v>0.2</v>
      </c>
      <c r="F32" s="183"/>
      <c r="L32" s="94"/>
      <c r="M32" s="124"/>
      <c r="N32" s="95"/>
      <c r="O32" s="125"/>
    </row>
    <row r="33" spans="2:19">
      <c r="D33" s="172"/>
      <c r="E33" s="181"/>
      <c r="L33" s="99"/>
      <c r="M33" s="123"/>
      <c r="N33" s="98"/>
      <c r="O33" s="126"/>
      <c r="R33" s="119" t="s">
        <v>235</v>
      </c>
      <c r="S33" s="93">
        <v>7.6</v>
      </c>
    </row>
    <row r="34" spans="2:19" ht="15" thickBot="1">
      <c r="D34" s="172"/>
      <c r="E34" s="181"/>
      <c r="G34" s="119" t="s">
        <v>236</v>
      </c>
      <c r="H34" s="127">
        <v>0.9</v>
      </c>
      <c r="I34" s="118" t="s">
        <v>156</v>
      </c>
      <c r="L34" s="128" t="s">
        <v>237</v>
      </c>
      <c r="M34" s="123"/>
      <c r="N34" s="98"/>
      <c r="O34" s="129" t="s">
        <v>238</v>
      </c>
    </row>
    <row r="35" spans="2:19" ht="15" thickBot="1">
      <c r="B35" s="307" t="s">
        <v>35</v>
      </c>
      <c r="C35" s="308"/>
      <c r="D35" s="182" t="s">
        <v>150</v>
      </c>
      <c r="E35" s="180">
        <v>500</v>
      </c>
      <c r="L35" s="99"/>
      <c r="M35" s="123"/>
      <c r="N35" s="98"/>
      <c r="O35" s="126"/>
    </row>
    <row r="36" spans="2:19">
      <c r="D36" s="172"/>
      <c r="E36" s="181"/>
      <c r="L36" s="99"/>
      <c r="M36" s="123"/>
      <c r="N36" s="98"/>
      <c r="O36" s="126"/>
    </row>
    <row r="37" spans="2:19" ht="15" thickBot="1">
      <c r="D37" s="172"/>
      <c r="E37" s="181"/>
      <c r="L37" s="175"/>
      <c r="M37" s="124"/>
      <c r="N37" s="95"/>
      <c r="O37" s="176"/>
    </row>
    <row r="38" spans="2:19" ht="15" thickBot="1">
      <c r="B38" s="307" t="s">
        <v>151</v>
      </c>
      <c r="C38" s="308"/>
      <c r="D38" s="182" t="s">
        <v>152</v>
      </c>
      <c r="E38" s="180">
        <v>25</v>
      </c>
      <c r="L38" s="175"/>
      <c r="M38" s="123"/>
      <c r="N38" s="98"/>
      <c r="O38" s="176"/>
    </row>
    <row r="39" spans="2:19" ht="15" thickBot="1">
      <c r="D39" s="172"/>
      <c r="E39" s="181"/>
      <c r="G39" s="119" t="s">
        <v>239</v>
      </c>
      <c r="H39" s="93">
        <v>0.2</v>
      </c>
      <c r="I39" s="120" t="s">
        <v>156</v>
      </c>
      <c r="J39" s="172" t="s">
        <v>240</v>
      </c>
      <c r="L39" s="177"/>
      <c r="M39" s="130" t="s">
        <v>240</v>
      </c>
      <c r="N39" s="131"/>
      <c r="O39" s="178"/>
    </row>
    <row r="40" spans="2:19" ht="15" thickBot="1">
      <c r="D40" s="172"/>
      <c r="E40" s="181"/>
    </row>
    <row r="41" spans="2:19" ht="15" thickBot="1">
      <c r="B41" s="307" t="s">
        <v>155</v>
      </c>
      <c r="C41" s="308"/>
      <c r="D41" s="182" t="s">
        <v>157</v>
      </c>
      <c r="E41" s="180">
        <v>3.5</v>
      </c>
    </row>
    <row r="42" spans="2:19">
      <c r="D42" s="172"/>
      <c r="E42" s="181"/>
      <c r="J42" s="399" t="s">
        <v>241</v>
      </c>
      <c r="K42" s="399"/>
      <c r="R42" s="399" t="s">
        <v>242</v>
      </c>
      <c r="S42" s="399"/>
    </row>
    <row r="43" spans="2:19" ht="15" thickBot="1">
      <c r="D43" s="172"/>
      <c r="E43" s="181"/>
      <c r="J43" s="93">
        <v>0.3</v>
      </c>
      <c r="K43" s="120" t="s">
        <v>243</v>
      </c>
      <c r="L43" s="132" t="s">
        <v>145</v>
      </c>
      <c r="O43" s="132" t="s">
        <v>146</v>
      </c>
      <c r="R43" s="93">
        <v>0.5</v>
      </c>
      <c r="S43" s="133" t="s">
        <v>243</v>
      </c>
    </row>
    <row r="44" spans="2:19" ht="15" thickBot="1">
      <c r="B44" s="307" t="s">
        <v>160</v>
      </c>
      <c r="C44" s="308"/>
      <c r="D44" s="182" t="s">
        <v>162</v>
      </c>
      <c r="E44" s="180">
        <v>3</v>
      </c>
    </row>
    <row r="47" spans="2:19">
      <c r="M47" s="119" t="s">
        <v>244</v>
      </c>
      <c r="N47" s="127">
        <v>0.85</v>
      </c>
      <c r="O47" s="118" t="s">
        <v>156</v>
      </c>
    </row>
    <row r="49" spans="2:19" ht="15" thickBot="1"/>
    <row r="50" spans="2:19" ht="29.4" customHeight="1" thickBot="1">
      <c r="B50" s="115" t="s">
        <v>245</v>
      </c>
      <c r="C50" s="134"/>
      <c r="D50" s="134"/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5"/>
    </row>
    <row r="51" spans="2:19" ht="28.8" customHeight="1">
      <c r="B51" s="400" t="s">
        <v>246</v>
      </c>
      <c r="C51" s="401"/>
      <c r="D51" s="401"/>
      <c r="E51" s="401"/>
      <c r="F51" s="401"/>
      <c r="G51" s="402"/>
      <c r="H51" s="400" t="s">
        <v>247</v>
      </c>
      <c r="I51" s="401"/>
      <c r="J51" s="401"/>
      <c r="K51" s="401"/>
      <c r="L51" s="401"/>
      <c r="M51" s="402"/>
      <c r="N51" s="136"/>
      <c r="O51" s="138" t="s">
        <v>248</v>
      </c>
      <c r="P51" s="139">
        <f>N26/S33</f>
        <v>0.88157894736842113</v>
      </c>
      <c r="Q51" s="139"/>
      <c r="R51" s="140"/>
      <c r="S51" s="141"/>
    </row>
    <row r="52" spans="2:19" ht="28.8" customHeight="1">
      <c r="B52" s="403" t="s">
        <v>165</v>
      </c>
      <c r="C52" s="404"/>
      <c r="D52" s="404"/>
      <c r="E52" s="404"/>
      <c r="F52" s="404"/>
      <c r="G52" s="405"/>
      <c r="H52" s="427" t="s">
        <v>166</v>
      </c>
      <c r="I52" s="428"/>
      <c r="J52" s="428"/>
      <c r="K52" s="428"/>
      <c r="L52" s="428"/>
      <c r="M52" s="429"/>
      <c r="N52" s="136"/>
      <c r="O52" s="142" t="s">
        <v>167</v>
      </c>
      <c r="P52" s="139">
        <f>(25*E32)+E29</f>
        <v>5</v>
      </c>
      <c r="Q52" s="139"/>
      <c r="R52" s="140" t="s">
        <v>249</v>
      </c>
      <c r="S52" s="143"/>
    </row>
    <row r="53" spans="2:19" ht="26.4" customHeight="1">
      <c r="B53" s="403" t="s">
        <v>169</v>
      </c>
      <c r="C53" s="404"/>
      <c r="D53" s="404"/>
      <c r="E53" s="404"/>
      <c r="F53" s="404"/>
      <c r="G53" s="405"/>
      <c r="H53" s="403" t="s">
        <v>250</v>
      </c>
      <c r="I53" s="404"/>
      <c r="J53" s="404"/>
      <c r="K53" s="404"/>
      <c r="L53" s="404"/>
      <c r="M53" s="405"/>
      <c r="N53" s="136"/>
      <c r="O53" s="142" t="s">
        <v>171</v>
      </c>
      <c r="P53" s="139">
        <f>(1.35*P52)+(1.5*E41)</f>
        <v>12</v>
      </c>
      <c r="Q53" s="139"/>
      <c r="R53" s="137" t="s">
        <v>172</v>
      </c>
      <c r="S53" s="143"/>
    </row>
    <row r="54" spans="2:19" ht="25.2" customHeight="1">
      <c r="B54" s="406" t="s">
        <v>251</v>
      </c>
      <c r="C54" s="407"/>
      <c r="D54" s="407"/>
      <c r="E54" s="407"/>
      <c r="F54" s="407"/>
      <c r="G54" s="408"/>
      <c r="H54" s="406" t="s">
        <v>252</v>
      </c>
      <c r="I54" s="407"/>
      <c r="J54" s="407"/>
      <c r="K54" s="407"/>
      <c r="L54" s="407"/>
      <c r="M54" s="408"/>
      <c r="N54" s="145"/>
      <c r="O54" s="146" t="s">
        <v>253</v>
      </c>
      <c r="P54" s="147">
        <v>4.7800000000000002E-2</v>
      </c>
      <c r="Q54" s="148"/>
      <c r="R54" s="144"/>
      <c r="S54" s="149"/>
    </row>
    <row r="55" spans="2:19" ht="27.6" customHeight="1">
      <c r="B55" s="409"/>
      <c r="C55" s="410"/>
      <c r="D55" s="410"/>
      <c r="E55" s="410"/>
      <c r="F55" s="410"/>
      <c r="G55" s="411"/>
      <c r="H55" s="415" t="s">
        <v>254</v>
      </c>
      <c r="I55" s="416"/>
      <c r="J55" s="416"/>
      <c r="K55" s="416"/>
      <c r="L55" s="416"/>
      <c r="M55" s="417"/>
      <c r="N55" s="145"/>
      <c r="O55" s="146" t="s">
        <v>255</v>
      </c>
      <c r="P55" s="147">
        <v>0.745</v>
      </c>
      <c r="Q55" s="148"/>
      <c r="R55" s="144"/>
      <c r="S55" s="149"/>
    </row>
    <row r="56" spans="2:19" ht="28.8" customHeight="1">
      <c r="B56" s="412" t="s">
        <v>256</v>
      </c>
      <c r="C56" s="413"/>
      <c r="D56" s="413"/>
      <c r="E56" s="413"/>
      <c r="F56" s="413"/>
      <c r="G56" s="414"/>
      <c r="H56" s="406" t="s">
        <v>257</v>
      </c>
      <c r="I56" s="407"/>
      <c r="J56" s="407"/>
      <c r="K56" s="407"/>
      <c r="L56" s="407"/>
      <c r="M56" s="408"/>
      <c r="N56" s="150"/>
      <c r="O56" s="152" t="s">
        <v>258</v>
      </c>
      <c r="P56" s="153">
        <f>P54*(P53*N26^2)</f>
        <v>25.748904000000003</v>
      </c>
      <c r="Q56" s="153"/>
      <c r="R56" s="151" t="s">
        <v>161</v>
      </c>
      <c r="S56" s="154"/>
    </row>
    <row r="57" spans="2:19" ht="27.6" customHeight="1">
      <c r="B57" s="415"/>
      <c r="C57" s="416"/>
      <c r="D57" s="416"/>
      <c r="E57" s="416"/>
      <c r="F57" s="416"/>
      <c r="G57" s="417"/>
      <c r="H57" s="409" t="s">
        <v>259</v>
      </c>
      <c r="I57" s="410"/>
      <c r="J57" s="410"/>
      <c r="K57" s="410"/>
      <c r="L57" s="410"/>
      <c r="M57" s="411"/>
      <c r="N57" s="145"/>
      <c r="O57" s="155" t="s">
        <v>260</v>
      </c>
      <c r="P57" s="156">
        <f>P55*P56</f>
        <v>19.182933480000003</v>
      </c>
      <c r="Q57" s="156"/>
      <c r="R57" s="144" t="s">
        <v>161</v>
      </c>
      <c r="S57" s="149"/>
    </row>
    <row r="58" spans="2:19" ht="27.6" customHeight="1">
      <c r="B58" s="412" t="s">
        <v>261</v>
      </c>
      <c r="C58" s="413"/>
      <c r="D58" s="413"/>
      <c r="E58" s="413"/>
      <c r="F58" s="413"/>
      <c r="G58" s="414"/>
      <c r="H58" s="406" t="s">
        <v>262</v>
      </c>
      <c r="I58" s="407"/>
      <c r="J58" s="407"/>
      <c r="K58" s="407"/>
      <c r="L58" s="407"/>
      <c r="M58" s="408"/>
      <c r="N58" s="150"/>
      <c r="O58" s="152" t="s">
        <v>178</v>
      </c>
      <c r="P58" s="153">
        <f>J43*P56</f>
        <v>7.7246712000000004</v>
      </c>
      <c r="Q58" s="153"/>
      <c r="R58" s="151" t="s">
        <v>161</v>
      </c>
      <c r="S58" s="154"/>
    </row>
    <row r="59" spans="2:19" ht="16.8" customHeight="1">
      <c r="B59" s="418"/>
      <c r="C59" s="419"/>
      <c r="D59" s="419"/>
      <c r="E59" s="419"/>
      <c r="F59" s="419"/>
      <c r="G59" s="420"/>
      <c r="H59" s="418" t="s">
        <v>263</v>
      </c>
      <c r="I59" s="419"/>
      <c r="J59" s="419"/>
      <c r="K59" s="419"/>
      <c r="L59" s="419"/>
      <c r="M59" s="420"/>
      <c r="N59" s="145"/>
      <c r="O59" s="155" t="s">
        <v>181</v>
      </c>
      <c r="P59" s="156">
        <f>R43*P56</f>
        <v>12.874452000000002</v>
      </c>
      <c r="Q59" s="156"/>
      <c r="R59" s="144" t="s">
        <v>161</v>
      </c>
      <c r="S59" s="149"/>
    </row>
    <row r="60" spans="2:19" ht="15" customHeight="1">
      <c r="B60" s="418"/>
      <c r="C60" s="419"/>
      <c r="D60" s="419"/>
      <c r="E60" s="419"/>
      <c r="F60" s="419"/>
      <c r="G60" s="420"/>
      <c r="H60" s="418" t="s">
        <v>264</v>
      </c>
      <c r="I60" s="419"/>
      <c r="J60" s="419"/>
      <c r="K60" s="419"/>
      <c r="L60" s="419"/>
      <c r="M60" s="420"/>
      <c r="N60" s="145"/>
      <c r="O60" s="155" t="s">
        <v>265</v>
      </c>
      <c r="P60" s="156">
        <f>H28*P57</f>
        <v>9.5914667400000013</v>
      </c>
      <c r="Q60" s="156"/>
      <c r="R60" s="144" t="s">
        <v>161</v>
      </c>
      <c r="S60" s="149"/>
    </row>
    <row r="61" spans="2:19" ht="14.4" customHeight="1">
      <c r="B61" s="415"/>
      <c r="C61" s="416"/>
      <c r="D61" s="416"/>
      <c r="E61" s="416"/>
      <c r="F61" s="416"/>
      <c r="G61" s="417"/>
      <c r="H61" s="415" t="s">
        <v>266</v>
      </c>
      <c r="I61" s="416"/>
      <c r="J61" s="416"/>
      <c r="K61" s="416"/>
      <c r="L61" s="416"/>
      <c r="M61" s="417"/>
      <c r="N61" s="145"/>
      <c r="O61" s="155" t="s">
        <v>267</v>
      </c>
      <c r="P61" s="156">
        <f>H39*P57</f>
        <v>3.8365866960000008</v>
      </c>
      <c r="Q61" s="156"/>
      <c r="R61" s="144" t="s">
        <v>161</v>
      </c>
      <c r="S61" s="149"/>
    </row>
    <row r="62" spans="2:19" ht="14.4" customHeight="1">
      <c r="B62" s="413" t="s">
        <v>268</v>
      </c>
      <c r="C62" s="413"/>
      <c r="D62" s="413"/>
      <c r="E62" s="413"/>
      <c r="F62" s="413"/>
      <c r="G62" s="414"/>
      <c r="H62" s="406" t="s">
        <v>269</v>
      </c>
      <c r="I62" s="407"/>
      <c r="J62" s="407"/>
      <c r="K62" s="407"/>
      <c r="L62" s="407"/>
      <c r="M62" s="408"/>
      <c r="N62" s="150"/>
      <c r="O62" s="152" t="s">
        <v>270</v>
      </c>
      <c r="P62" s="153">
        <f>N47*P56</f>
        <v>21.886568400000002</v>
      </c>
      <c r="Q62" s="153"/>
      <c r="R62" s="151" t="s">
        <v>161</v>
      </c>
      <c r="S62" s="154"/>
    </row>
    <row r="63" spans="2:19">
      <c r="B63" s="419"/>
      <c r="C63" s="419"/>
      <c r="D63" s="419"/>
      <c r="E63" s="419"/>
      <c r="F63" s="419"/>
      <c r="G63" s="420"/>
      <c r="H63" s="418" t="s">
        <v>271</v>
      </c>
      <c r="I63" s="419"/>
      <c r="J63" s="419"/>
      <c r="K63" s="419"/>
      <c r="L63" s="419"/>
      <c r="M63" s="420"/>
      <c r="N63" s="145"/>
      <c r="O63" s="155" t="s">
        <v>272</v>
      </c>
      <c r="P63" s="156">
        <f>H34*P57</f>
        <v>17.264640132000004</v>
      </c>
      <c r="Q63" s="156"/>
      <c r="R63" s="144" t="s">
        <v>161</v>
      </c>
      <c r="S63" s="149"/>
    </row>
    <row r="64" spans="2:19" ht="15" thickBot="1"/>
    <row r="65" spans="2:19" ht="28.8" customHeight="1" thickBot="1">
      <c r="B65" s="115" t="s">
        <v>190</v>
      </c>
      <c r="C65" s="134"/>
      <c r="D65" s="134"/>
      <c r="E65" s="134"/>
      <c r="F65" s="134"/>
      <c r="G65" s="134"/>
      <c r="H65" s="134"/>
      <c r="I65" s="134"/>
      <c r="J65" s="134"/>
      <c r="K65" s="134"/>
      <c r="L65" s="134"/>
      <c r="M65" s="134"/>
      <c r="N65" s="134"/>
      <c r="O65" s="134"/>
      <c r="P65" s="157"/>
      <c r="Q65" s="157"/>
      <c r="R65" s="134"/>
      <c r="S65" s="135"/>
    </row>
    <row r="66" spans="2:19" ht="37.799999999999997" customHeight="1">
      <c r="B66" s="421" t="s">
        <v>273</v>
      </c>
      <c r="C66" s="422"/>
      <c r="D66" s="422"/>
      <c r="E66" s="422"/>
      <c r="F66" s="422"/>
      <c r="G66" s="423"/>
      <c r="H66" s="436" t="s">
        <v>274</v>
      </c>
      <c r="I66" s="437"/>
      <c r="J66" s="437"/>
      <c r="K66" s="437"/>
      <c r="L66" s="437"/>
      <c r="M66" s="438"/>
      <c r="N66" s="145"/>
      <c r="O66" s="158" t="s">
        <v>275</v>
      </c>
      <c r="P66" s="156">
        <f>((391*(P62/1000))/((10*E35)*(((17*((17*(E32-(E44/100))^2*E38)-(60*(P62/1000))))/E38)^0.5+(17*(E32-(E44/100))))))*10000</f>
        <v>3.0448085622005392</v>
      </c>
      <c r="Q66" s="156"/>
      <c r="R66" s="144" t="s">
        <v>194</v>
      </c>
      <c r="S66" s="149"/>
    </row>
    <row r="67" spans="2:19" ht="37.200000000000003" customHeight="1">
      <c r="B67" s="418" t="s">
        <v>195</v>
      </c>
      <c r="C67" s="419"/>
      <c r="D67" s="419"/>
      <c r="E67" s="419"/>
      <c r="F67" s="419"/>
      <c r="G67" s="420"/>
      <c r="H67" s="418" t="s">
        <v>276</v>
      </c>
      <c r="I67" s="419"/>
      <c r="J67" s="419"/>
      <c r="K67" s="419"/>
      <c r="L67" s="419"/>
      <c r="M67" s="420"/>
      <c r="N67" s="145"/>
      <c r="O67" s="158" t="s">
        <v>197</v>
      </c>
      <c r="P67" s="156">
        <f>((391*(P58/1000))/((10*E35)*(((17*((17*(E32-(E44/100))^2*E38)-(60*(P58/1000))))/E38)^0.5+(17*(E32-(E44/100))))))*10000</f>
        <v>1.0551523390516582</v>
      </c>
      <c r="Q67" s="156"/>
      <c r="R67" s="144" t="s">
        <v>194</v>
      </c>
      <c r="S67" s="149"/>
    </row>
    <row r="68" spans="2:19" ht="37.200000000000003" customHeight="1">
      <c r="B68" s="409" t="s">
        <v>198</v>
      </c>
      <c r="C68" s="410"/>
      <c r="D68" s="410"/>
      <c r="E68" s="410"/>
      <c r="F68" s="410"/>
      <c r="G68" s="411"/>
      <c r="H68" s="418" t="s">
        <v>277</v>
      </c>
      <c r="I68" s="419"/>
      <c r="J68" s="419"/>
      <c r="K68" s="419"/>
      <c r="L68" s="419"/>
      <c r="M68" s="420"/>
      <c r="N68" s="145"/>
      <c r="O68" s="158" t="s">
        <v>200</v>
      </c>
      <c r="P68" s="156">
        <f>((391*(P59/1000))/((10*E35)*(((17*((17*(E32-(E44/100))^2*E38)-(60*(P59/1000))))/E38)^0.5+(17*(E32-(E44/100))))))*10000</f>
        <v>1.7701210152113076</v>
      </c>
      <c r="Q68" s="156"/>
      <c r="R68" s="144" t="s">
        <v>194</v>
      </c>
      <c r="S68" s="149"/>
    </row>
    <row r="69" spans="2:19" ht="37.200000000000003" customHeight="1">
      <c r="B69" s="406" t="s">
        <v>278</v>
      </c>
      <c r="C69" s="407"/>
      <c r="D69" s="407"/>
      <c r="E69" s="407"/>
      <c r="F69" s="407"/>
      <c r="G69" s="408"/>
      <c r="H69" s="418" t="s">
        <v>279</v>
      </c>
      <c r="I69" s="419"/>
      <c r="J69" s="419"/>
      <c r="K69" s="419"/>
      <c r="L69" s="419"/>
      <c r="M69" s="420"/>
      <c r="N69" s="150"/>
      <c r="O69" s="159" t="s">
        <v>280</v>
      </c>
      <c r="P69" s="153">
        <f>((391*(P63/1000))/((10*E35)*(((17*((17*(E32-(E44/100))^2*E38)-(60*(P63/1000))))/E38)^0.5+(17*(E32-(E44/100))))))*10000</f>
        <v>2.3872465214311274</v>
      </c>
      <c r="Q69" s="153"/>
      <c r="R69" s="151" t="s">
        <v>194</v>
      </c>
      <c r="S69" s="154"/>
    </row>
    <row r="70" spans="2:19" ht="37.200000000000003" customHeight="1">
      <c r="B70" s="424" t="s">
        <v>281</v>
      </c>
      <c r="C70" s="425"/>
      <c r="D70" s="425"/>
      <c r="E70" s="425"/>
      <c r="F70" s="425"/>
      <c r="G70" s="426"/>
      <c r="H70" s="418" t="s">
        <v>282</v>
      </c>
      <c r="I70" s="419"/>
      <c r="J70" s="419"/>
      <c r="K70" s="419"/>
      <c r="L70" s="419"/>
      <c r="M70" s="420"/>
      <c r="N70" s="145"/>
      <c r="O70" s="158" t="s">
        <v>283</v>
      </c>
      <c r="P70" s="156">
        <f>((391*(P60/1000))/((10*E35)*(((17*((17*(E32-(E44/100))^2*E38)-(60*(P60/1000))))/E38)^0.5+(17*(E32-(E44/100))))))*10000</f>
        <v>1.313236258079445</v>
      </c>
      <c r="Q70" s="156"/>
      <c r="R70" s="144" t="s">
        <v>194</v>
      </c>
      <c r="S70" s="149"/>
    </row>
    <row r="71" spans="2:19" ht="37.200000000000003" customHeight="1">
      <c r="B71" s="409" t="s">
        <v>284</v>
      </c>
      <c r="C71" s="410"/>
      <c r="D71" s="410"/>
      <c r="E71" s="410"/>
      <c r="F71" s="410"/>
      <c r="G71" s="411"/>
      <c r="H71" s="415"/>
      <c r="I71" s="416"/>
      <c r="J71" s="416"/>
      <c r="K71" s="416"/>
      <c r="L71" s="416"/>
      <c r="M71" s="417"/>
      <c r="N71" s="145"/>
      <c r="O71" s="158" t="s">
        <v>285</v>
      </c>
      <c r="P71" s="156">
        <f>((391*(P61/1000))/((10*E35)*(((17*((17*(E32-(E44/100))^2*E38)-(60*(P61/1000))))/E38)^0.5+(17*(E32-(E44/100))))))*10000</f>
        <v>0.5215227280069914</v>
      </c>
      <c r="Q71" s="156"/>
      <c r="R71" s="144" t="s">
        <v>194</v>
      </c>
      <c r="S71" s="149"/>
    </row>
    <row r="72" spans="2:19" ht="37.200000000000003" customHeight="1">
      <c r="B72" s="406" t="s">
        <v>286</v>
      </c>
      <c r="C72" s="407"/>
      <c r="D72" s="407"/>
      <c r="E72" s="407"/>
      <c r="F72" s="407"/>
      <c r="G72" s="408"/>
      <c r="H72" s="406" t="s">
        <v>202</v>
      </c>
      <c r="I72" s="407"/>
      <c r="J72" s="407"/>
      <c r="K72" s="407"/>
      <c r="L72" s="407"/>
      <c r="M72" s="408"/>
      <c r="N72" s="150"/>
      <c r="O72" s="152"/>
      <c r="P72" s="160"/>
      <c r="Q72" s="160"/>
      <c r="R72" s="151"/>
      <c r="S72" s="154"/>
    </row>
    <row r="73" spans="2:19" ht="37.200000000000003" customHeight="1">
      <c r="B73" s="409"/>
      <c r="C73" s="410"/>
      <c r="D73" s="410"/>
      <c r="E73" s="410"/>
      <c r="F73" s="410"/>
      <c r="G73" s="411"/>
      <c r="H73" s="409" t="s">
        <v>203</v>
      </c>
      <c r="I73" s="410"/>
      <c r="J73" s="410"/>
      <c r="K73" s="410"/>
      <c r="L73" s="410"/>
      <c r="M73" s="411"/>
      <c r="N73" s="145"/>
      <c r="O73" s="146" t="s">
        <v>204</v>
      </c>
      <c r="P73" s="156">
        <f>IF(E35=400,8*E32,6*E32)</f>
        <v>1.2000000000000002</v>
      </c>
      <c r="Q73" s="156"/>
      <c r="R73" s="144" t="s">
        <v>194</v>
      </c>
      <c r="S73" s="149"/>
    </row>
    <row r="74" spans="2:19" ht="37.200000000000003" customHeight="1">
      <c r="B74" s="403" t="s">
        <v>186</v>
      </c>
      <c r="C74" s="404"/>
      <c r="D74" s="404"/>
      <c r="E74" s="404"/>
      <c r="F74" s="404"/>
      <c r="G74" s="405"/>
      <c r="H74" s="403" t="s">
        <v>287</v>
      </c>
      <c r="I74" s="404"/>
      <c r="J74" s="404"/>
      <c r="K74" s="404"/>
      <c r="L74" s="404"/>
      <c r="M74" s="405"/>
      <c r="N74" s="136"/>
      <c r="O74" s="142" t="s">
        <v>220</v>
      </c>
      <c r="P74" s="139" t="str">
        <f>IF(P69&gt;P73,"Vérifié","Non vérifié")</f>
        <v>Vérifié</v>
      </c>
      <c r="Q74" s="139"/>
      <c r="R74" s="161"/>
      <c r="S74" s="143"/>
    </row>
    <row r="75" spans="2:19" ht="37.200000000000003" customHeight="1">
      <c r="B75" s="427" t="s">
        <v>288</v>
      </c>
      <c r="C75" s="428"/>
      <c r="D75" s="428"/>
      <c r="E75" s="428"/>
      <c r="F75" s="428"/>
      <c r="G75" s="429"/>
      <c r="H75" s="433" t="s">
        <v>206</v>
      </c>
      <c r="I75" s="434"/>
      <c r="J75" s="434"/>
      <c r="K75" s="434"/>
      <c r="L75" s="434"/>
      <c r="M75" s="435"/>
      <c r="N75" s="145"/>
      <c r="O75" s="146" t="s">
        <v>207</v>
      </c>
      <c r="P75" s="156">
        <f>P73*((3-P51)/2)</f>
        <v>1.2710526315789474</v>
      </c>
      <c r="Q75" s="156"/>
      <c r="R75" s="144" t="s">
        <v>194</v>
      </c>
      <c r="S75" s="149"/>
    </row>
    <row r="76" spans="2:19" ht="37.200000000000003" customHeight="1">
      <c r="B76" s="403" t="s">
        <v>186</v>
      </c>
      <c r="C76" s="404"/>
      <c r="D76" s="404"/>
      <c r="E76" s="404"/>
      <c r="F76" s="404"/>
      <c r="G76" s="405"/>
      <c r="H76" s="427" t="s">
        <v>289</v>
      </c>
      <c r="I76" s="428"/>
      <c r="J76" s="428"/>
      <c r="K76" s="428"/>
      <c r="L76" s="428"/>
      <c r="M76" s="429"/>
      <c r="N76" s="136"/>
      <c r="O76" s="142" t="s">
        <v>220</v>
      </c>
      <c r="P76" s="139" t="str">
        <f>IF(P66&gt;P75,"Vérifié","Non vérifié")</f>
        <v>Vérifié</v>
      </c>
      <c r="Q76" s="139"/>
      <c r="R76" s="161"/>
      <c r="S76" s="143"/>
    </row>
    <row r="77" spans="2:19" ht="15" thickBot="1"/>
    <row r="78" spans="2:19" ht="16.2" thickBot="1">
      <c r="B78" s="162" t="s">
        <v>208</v>
      </c>
      <c r="C78" s="116"/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63"/>
      <c r="Q78" s="163"/>
      <c r="R78" s="116"/>
      <c r="S78" s="117"/>
    </row>
    <row r="79" spans="2:19" ht="25.8" customHeight="1">
      <c r="B79" s="430" t="s">
        <v>290</v>
      </c>
      <c r="C79" s="431"/>
      <c r="D79" s="431"/>
      <c r="E79" s="431"/>
      <c r="F79" s="431"/>
      <c r="G79" s="432"/>
      <c r="H79" s="400" t="s">
        <v>291</v>
      </c>
      <c r="I79" s="401"/>
      <c r="J79" s="401"/>
      <c r="K79" s="401"/>
      <c r="L79" s="401"/>
      <c r="M79" s="402"/>
      <c r="N79" s="145"/>
      <c r="O79" s="155" t="s">
        <v>211</v>
      </c>
      <c r="P79" s="156">
        <f>(P53*N26*S33)/((2*S33)+N26)</f>
        <v>27.901369863013699</v>
      </c>
      <c r="Q79" s="156"/>
      <c r="R79" s="144" t="s">
        <v>212</v>
      </c>
      <c r="S79" s="149"/>
    </row>
    <row r="80" spans="2:19" ht="27.6" customHeight="1">
      <c r="B80" s="403" t="s">
        <v>213</v>
      </c>
      <c r="C80" s="404"/>
      <c r="D80" s="404"/>
      <c r="E80" s="404"/>
      <c r="F80" s="404"/>
      <c r="G80" s="405"/>
      <c r="H80" s="403" t="s">
        <v>214</v>
      </c>
      <c r="I80" s="404"/>
      <c r="J80" s="404"/>
      <c r="K80" s="404"/>
      <c r="L80" s="404"/>
      <c r="M80" s="405"/>
      <c r="N80" s="150"/>
      <c r="O80" s="164" t="s">
        <v>215</v>
      </c>
      <c r="P80" s="165">
        <f>(P79/(E32-(E44/100)))/1000</f>
        <v>0.16412570507655116</v>
      </c>
      <c r="Q80" s="153"/>
      <c r="R80" s="151" t="s">
        <v>31</v>
      </c>
      <c r="S80" s="154"/>
    </row>
    <row r="81" spans="2:19" ht="32.4" customHeight="1">
      <c r="B81" s="403" t="s">
        <v>292</v>
      </c>
      <c r="C81" s="404"/>
      <c r="D81" s="404"/>
      <c r="E81" s="404"/>
      <c r="F81" s="404"/>
      <c r="G81" s="405"/>
      <c r="H81" s="403" t="s">
        <v>293</v>
      </c>
      <c r="I81" s="404"/>
      <c r="J81" s="404"/>
      <c r="K81" s="404"/>
      <c r="L81" s="404"/>
      <c r="M81" s="405"/>
      <c r="N81" s="136"/>
      <c r="O81" s="166" t="s">
        <v>218</v>
      </c>
      <c r="P81" s="167">
        <f>(0.07*E38)/1.5</f>
        <v>1.1666666666666667</v>
      </c>
      <c r="Q81" s="139"/>
      <c r="R81" s="137" t="s">
        <v>31</v>
      </c>
      <c r="S81" s="143"/>
    </row>
    <row r="82" spans="2:19" ht="32.4" customHeight="1">
      <c r="B82" s="403" t="s">
        <v>186</v>
      </c>
      <c r="C82" s="404"/>
      <c r="D82" s="404"/>
      <c r="E82" s="404"/>
      <c r="F82" s="404"/>
      <c r="G82" s="405"/>
      <c r="H82" s="433" t="s">
        <v>219</v>
      </c>
      <c r="I82" s="434"/>
      <c r="J82" s="434"/>
      <c r="K82" s="434"/>
      <c r="L82" s="434"/>
      <c r="M82" s="435"/>
      <c r="N82" s="168"/>
      <c r="O82" s="142" t="s">
        <v>220</v>
      </c>
      <c r="P82" s="169" t="str">
        <f>IF(P80&lt;P81,"Vérifié","Non vérifié")</f>
        <v>Vérifié</v>
      </c>
      <c r="Q82" s="169"/>
      <c r="R82" s="170"/>
      <c r="S82" s="171"/>
    </row>
  </sheetData>
  <sheetProtection formatCells="0" formatColumns="0" formatRows="0" insertColumns="0" insertRows="0" insertHyperlinks="0" deleteColumns="0" deleteRows="0" sort="0" autoFilter="0" pivotTables="0"/>
  <mergeCells count="66">
    <mergeCell ref="H53:M53"/>
    <mergeCell ref="H52:M52"/>
    <mergeCell ref="H51:M51"/>
    <mergeCell ref="H58:M58"/>
    <mergeCell ref="H57:M57"/>
    <mergeCell ref="H56:M56"/>
    <mergeCell ref="H55:M55"/>
    <mergeCell ref="H54:M54"/>
    <mergeCell ref="H62:M62"/>
    <mergeCell ref="H63:M63"/>
    <mergeCell ref="H61:M61"/>
    <mergeCell ref="H60:M60"/>
    <mergeCell ref="H59:M59"/>
    <mergeCell ref="H66:M66"/>
    <mergeCell ref="H67:M67"/>
    <mergeCell ref="H68:M68"/>
    <mergeCell ref="H69:M69"/>
    <mergeCell ref="H70:M71"/>
    <mergeCell ref="H76:M76"/>
    <mergeCell ref="H75:M75"/>
    <mergeCell ref="H74:M74"/>
    <mergeCell ref="H73:M73"/>
    <mergeCell ref="H72:M72"/>
    <mergeCell ref="B82:G82"/>
    <mergeCell ref="H79:M79"/>
    <mergeCell ref="H80:M80"/>
    <mergeCell ref="H81:M81"/>
    <mergeCell ref="H82:M82"/>
    <mergeCell ref="B75:G75"/>
    <mergeCell ref="B76:G76"/>
    <mergeCell ref="B79:G79"/>
    <mergeCell ref="B80:G80"/>
    <mergeCell ref="B81:G81"/>
    <mergeCell ref="B69:G69"/>
    <mergeCell ref="B70:G70"/>
    <mergeCell ref="B71:G71"/>
    <mergeCell ref="B72:G73"/>
    <mergeCell ref="B74:G74"/>
    <mergeCell ref="B58:G61"/>
    <mergeCell ref="B66:G66"/>
    <mergeCell ref="B67:G67"/>
    <mergeCell ref="B68:G68"/>
    <mergeCell ref="B62:G63"/>
    <mergeCell ref="B51:G51"/>
    <mergeCell ref="B52:G52"/>
    <mergeCell ref="B53:G53"/>
    <mergeCell ref="B54:G55"/>
    <mergeCell ref="B56:G57"/>
    <mergeCell ref="I8:I11"/>
    <mergeCell ref="F3:L3"/>
    <mergeCell ref="N3:P3"/>
    <mergeCell ref="H4:J4"/>
    <mergeCell ref="N4:P4"/>
    <mergeCell ref="N6:P6"/>
    <mergeCell ref="B29:C29"/>
    <mergeCell ref="B32:C32"/>
    <mergeCell ref="B35:C35"/>
    <mergeCell ref="F17:H17"/>
    <mergeCell ref="K17:L17"/>
    <mergeCell ref="B20:C20"/>
    <mergeCell ref="D20:R20"/>
    <mergeCell ref="B38:C38"/>
    <mergeCell ref="B41:C41"/>
    <mergeCell ref="B44:C44"/>
    <mergeCell ref="J42:K42"/>
    <mergeCell ref="R42:S42"/>
  </mergeCells>
  <conditionalFormatting sqref="B51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52:B54 B56 B58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5">
    <cfRule type="colorScale" priority="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6:B68 B70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74:B76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2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5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41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4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7D91E-F358-45D6-B3DC-FD7E7568A760}">
  <sheetPr codeName="Feuil9"/>
  <dimension ref="B2:S82"/>
  <sheetViews>
    <sheetView topLeftCell="D22" zoomScaleNormal="100" workbookViewId="0">
      <selection activeCell="D50" sqref="D50"/>
    </sheetView>
  </sheetViews>
  <sheetFormatPr defaultColWidth="11.5546875" defaultRowHeight="14.4"/>
  <cols>
    <col min="1" max="1" width="30.21875" style="1" customWidth="1"/>
    <col min="2" max="2" width="29.88671875" style="1" customWidth="1"/>
    <col min="3" max="3" width="33.5546875" style="1" customWidth="1"/>
    <col min="4" max="4" width="16.77734375" style="1" customWidth="1"/>
    <col min="5" max="5" width="17.33203125" style="1" customWidth="1"/>
    <col min="6" max="6" width="15.109375" style="1" customWidth="1"/>
    <col min="7" max="7" width="11.5546875" style="1"/>
    <col min="8" max="8" width="11.109375" style="1" customWidth="1"/>
    <col min="9" max="9" width="3.5546875" style="1" customWidth="1"/>
    <col min="10" max="10" width="9.21875" style="1" customWidth="1"/>
    <col min="11" max="11" width="11.5546875" style="1"/>
    <col min="12" max="12" width="7.44140625" style="1" customWidth="1"/>
    <col min="13" max="13" width="10.6640625" style="1" customWidth="1"/>
    <col min="14" max="14" width="11.33203125" style="1" customWidth="1"/>
    <col min="15" max="15" width="8.109375" style="1" customWidth="1"/>
    <col min="16" max="16" width="16.33203125" style="1" customWidth="1"/>
    <col min="17" max="17" width="4.77734375" style="1" customWidth="1"/>
    <col min="18" max="18" width="14.5546875" style="1" customWidth="1"/>
    <col min="19" max="16384" width="11.5546875" style="1"/>
  </cols>
  <sheetData>
    <row r="2" spans="2:16" ht="15" thickBot="1"/>
    <row r="3" spans="2:16" ht="33.6" customHeight="1" thickBot="1">
      <c r="C3" s="59" t="s">
        <v>118</v>
      </c>
      <c r="D3" s="60">
        <v>43948</v>
      </c>
      <c r="F3" s="233" t="s">
        <v>295</v>
      </c>
      <c r="G3" s="234"/>
      <c r="H3" s="234"/>
      <c r="I3" s="234"/>
      <c r="J3" s="234"/>
      <c r="K3" s="234"/>
      <c r="L3" s="235"/>
      <c r="N3" s="223" t="s">
        <v>1</v>
      </c>
      <c r="O3" s="224"/>
      <c r="P3" s="225"/>
    </row>
    <row r="4" spans="2:16" ht="24" thickBot="1">
      <c r="H4" s="236" t="s">
        <v>0</v>
      </c>
      <c r="I4" s="237"/>
      <c r="J4" s="238"/>
      <c r="N4" s="226" t="s">
        <v>10</v>
      </c>
      <c r="O4" s="227"/>
      <c r="P4" s="228"/>
    </row>
    <row r="5" spans="2:16" ht="15" thickBot="1">
      <c r="N5" s="2"/>
      <c r="O5" s="3"/>
      <c r="P5" s="4"/>
    </row>
    <row r="6" spans="2:16" ht="16.2" thickBot="1">
      <c r="B6" s="12"/>
      <c r="D6" s="54" t="s">
        <v>107</v>
      </c>
      <c r="N6" s="229" t="s">
        <v>11</v>
      </c>
      <c r="O6" s="230"/>
      <c r="P6" s="231"/>
    </row>
    <row r="7" spans="2:16" ht="15" thickBot="1">
      <c r="B7" s="12"/>
      <c r="C7" s="12"/>
      <c r="D7" s="55" t="s">
        <v>108</v>
      </c>
    </row>
    <row r="8" spans="2:16" ht="14.4" customHeight="1" thickBot="1">
      <c r="B8" s="12"/>
      <c r="C8" s="12"/>
      <c r="D8" s="56" t="s">
        <v>109</v>
      </c>
      <c r="I8" s="264" t="s">
        <v>3</v>
      </c>
      <c r="J8" s="46"/>
    </row>
    <row r="9" spans="2:16" ht="14.4" customHeight="1" thickBot="1">
      <c r="B9" s="12"/>
      <c r="C9" s="12"/>
      <c r="D9" s="57" t="s">
        <v>110</v>
      </c>
      <c r="I9" s="264"/>
      <c r="J9" s="46"/>
    </row>
    <row r="10" spans="2:16" ht="14.4" customHeight="1" thickBot="1">
      <c r="B10" s="12"/>
      <c r="C10" s="12"/>
      <c r="D10" s="58" t="s">
        <v>111</v>
      </c>
      <c r="I10" s="264"/>
      <c r="J10" s="46"/>
    </row>
    <row r="11" spans="2:16" ht="14.4" customHeight="1">
      <c r="B11" s="12"/>
      <c r="C11" s="12"/>
      <c r="I11" s="264"/>
      <c r="J11" s="46"/>
    </row>
    <row r="12" spans="2:16" ht="14.4" customHeight="1">
      <c r="B12" s="12"/>
      <c r="C12" s="12"/>
      <c r="I12" s="46"/>
      <c r="J12" s="46"/>
    </row>
    <row r="13" spans="2:16" ht="14.4" customHeight="1">
      <c r="B13" s="12"/>
      <c r="C13" s="12"/>
      <c r="I13" s="46"/>
      <c r="J13" s="46"/>
    </row>
    <row r="14" spans="2:16">
      <c r="B14" s="12"/>
      <c r="C14" s="12"/>
    </row>
    <row r="15" spans="2:16">
      <c r="B15" s="12"/>
      <c r="C15" s="12"/>
    </row>
    <row r="16" spans="2:16" ht="15" thickBot="1">
      <c r="B16" s="12"/>
      <c r="C16" s="12"/>
    </row>
    <row r="17" spans="2:19" ht="15" thickBot="1">
      <c r="B17" s="12"/>
      <c r="C17" s="12"/>
      <c r="F17" s="218" t="s">
        <v>115</v>
      </c>
      <c r="G17" s="219"/>
      <c r="H17" s="220"/>
      <c r="K17" s="221" t="s">
        <v>8</v>
      </c>
      <c r="L17" s="222"/>
    </row>
    <row r="18" spans="2:19">
      <c r="B18" s="12"/>
      <c r="C18" s="12"/>
    </row>
    <row r="19" spans="2:19" ht="15" thickBot="1">
      <c r="B19" s="12"/>
      <c r="C19" s="12"/>
    </row>
    <row r="20" spans="2:19" ht="29.4" customHeight="1" thickBot="1">
      <c r="B20" s="195" t="s">
        <v>106</v>
      </c>
      <c r="C20" s="196"/>
      <c r="D20" s="188" t="s">
        <v>294</v>
      </c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90"/>
    </row>
    <row r="23" spans="2:19" ht="15" thickBot="1"/>
    <row r="24" spans="2:19" ht="16.2" thickBot="1">
      <c r="B24" s="115" t="s">
        <v>140</v>
      </c>
      <c r="C24" s="116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7"/>
    </row>
    <row r="26" spans="2:19">
      <c r="M26" s="119" t="s">
        <v>229</v>
      </c>
      <c r="N26" s="93">
        <v>6.7</v>
      </c>
    </row>
    <row r="28" spans="2:19" ht="15" thickBot="1">
      <c r="G28" s="119" t="s">
        <v>231</v>
      </c>
      <c r="H28" s="93">
        <v>0.5</v>
      </c>
      <c r="I28" s="120" t="s">
        <v>232</v>
      </c>
    </row>
    <row r="29" spans="2:19" ht="15" thickBot="1">
      <c r="B29" s="307" t="s">
        <v>230</v>
      </c>
      <c r="C29" s="308"/>
      <c r="D29" s="179" t="s">
        <v>233</v>
      </c>
      <c r="E29" s="180">
        <v>0</v>
      </c>
      <c r="F29" s="183"/>
      <c r="J29" s="172" t="s">
        <v>234</v>
      </c>
      <c r="L29" s="173"/>
      <c r="M29" s="121" t="s">
        <v>234</v>
      </c>
      <c r="N29" s="122"/>
      <c r="O29" s="174"/>
    </row>
    <row r="30" spans="2:19">
      <c r="D30" s="172"/>
      <c r="E30" s="181"/>
      <c r="L30" s="175"/>
      <c r="M30" s="123"/>
      <c r="N30" s="98"/>
      <c r="O30" s="176"/>
    </row>
    <row r="31" spans="2:19" ht="15" thickBot="1">
      <c r="D31" s="172"/>
      <c r="E31" s="181"/>
      <c r="L31" s="175"/>
      <c r="M31" s="123"/>
      <c r="N31" s="98"/>
      <c r="O31" s="176"/>
    </row>
    <row r="32" spans="2:19" ht="15" thickBot="1">
      <c r="B32" s="307" t="s">
        <v>148</v>
      </c>
      <c r="C32" s="308"/>
      <c r="D32" s="182" t="s">
        <v>149</v>
      </c>
      <c r="E32" s="180">
        <v>0.2</v>
      </c>
      <c r="F32" s="183"/>
      <c r="L32" s="94"/>
      <c r="M32" s="124"/>
      <c r="N32" s="95"/>
      <c r="O32" s="125"/>
    </row>
    <row r="33" spans="2:19">
      <c r="D33" s="172"/>
      <c r="E33" s="181"/>
      <c r="L33" s="99"/>
      <c r="M33" s="123"/>
      <c r="N33" s="98"/>
      <c r="O33" s="126"/>
      <c r="R33" s="119" t="s">
        <v>235</v>
      </c>
      <c r="S33" s="93">
        <v>7.6</v>
      </c>
    </row>
    <row r="34" spans="2:19" ht="15" thickBot="1">
      <c r="D34" s="172"/>
      <c r="E34" s="181"/>
      <c r="G34" s="119" t="s">
        <v>236</v>
      </c>
      <c r="H34" s="127">
        <v>0.9</v>
      </c>
      <c r="I34" s="118" t="s">
        <v>156</v>
      </c>
      <c r="L34" s="128" t="s">
        <v>237</v>
      </c>
      <c r="M34" s="123"/>
      <c r="N34" s="98"/>
      <c r="O34" s="129" t="s">
        <v>238</v>
      </c>
    </row>
    <row r="35" spans="2:19" ht="15" thickBot="1">
      <c r="B35" s="307" t="s">
        <v>35</v>
      </c>
      <c r="C35" s="308"/>
      <c r="D35" s="182" t="s">
        <v>150</v>
      </c>
      <c r="E35" s="180">
        <v>500</v>
      </c>
      <c r="L35" s="99"/>
      <c r="M35" s="123"/>
      <c r="N35" s="98"/>
      <c r="O35" s="126"/>
    </row>
    <row r="36" spans="2:19">
      <c r="D36" s="172"/>
      <c r="E36" s="181"/>
      <c r="L36" s="99"/>
      <c r="M36" s="123"/>
      <c r="N36" s="98"/>
      <c r="O36" s="126"/>
    </row>
    <row r="37" spans="2:19" ht="15" thickBot="1">
      <c r="D37" s="172"/>
      <c r="E37" s="181"/>
      <c r="L37" s="175"/>
      <c r="M37" s="124"/>
      <c r="N37" s="95"/>
      <c r="O37" s="176"/>
    </row>
    <row r="38" spans="2:19" ht="15" thickBot="1">
      <c r="B38" s="307" t="s">
        <v>151</v>
      </c>
      <c r="C38" s="308"/>
      <c r="D38" s="182" t="s">
        <v>152</v>
      </c>
      <c r="E38" s="180">
        <v>25</v>
      </c>
      <c r="L38" s="175"/>
      <c r="M38" s="123"/>
      <c r="N38" s="98"/>
      <c r="O38" s="176"/>
    </row>
    <row r="39" spans="2:19" ht="15" thickBot="1">
      <c r="D39" s="172"/>
      <c r="E39" s="181"/>
      <c r="G39" s="119" t="s">
        <v>239</v>
      </c>
      <c r="H39" s="93">
        <v>0.2</v>
      </c>
      <c r="I39" s="120" t="s">
        <v>156</v>
      </c>
      <c r="J39" s="172" t="s">
        <v>240</v>
      </c>
      <c r="L39" s="177"/>
      <c r="M39" s="130" t="s">
        <v>240</v>
      </c>
      <c r="N39" s="131"/>
      <c r="O39" s="178"/>
    </row>
    <row r="40" spans="2:19" ht="15" thickBot="1">
      <c r="D40" s="172"/>
      <c r="E40" s="181"/>
    </row>
    <row r="41" spans="2:19" ht="15" thickBot="1">
      <c r="B41" s="307" t="s">
        <v>155</v>
      </c>
      <c r="C41" s="308"/>
      <c r="D41" s="182" t="s">
        <v>157</v>
      </c>
      <c r="E41" s="180">
        <v>3.5</v>
      </c>
    </row>
    <row r="42" spans="2:19">
      <c r="D42" s="172"/>
      <c r="E42" s="181"/>
      <c r="J42" s="399" t="s">
        <v>241</v>
      </c>
      <c r="K42" s="399"/>
      <c r="R42" s="399" t="s">
        <v>242</v>
      </c>
      <c r="S42" s="399"/>
    </row>
    <row r="43" spans="2:19" ht="15" thickBot="1">
      <c r="D43" s="172"/>
      <c r="E43" s="181"/>
      <c r="J43" s="93">
        <v>0.3</v>
      </c>
      <c r="K43" s="120" t="s">
        <v>243</v>
      </c>
      <c r="L43" s="132" t="s">
        <v>145</v>
      </c>
      <c r="O43" s="132" t="s">
        <v>146</v>
      </c>
      <c r="R43" s="93">
        <v>0.5</v>
      </c>
      <c r="S43" s="133" t="s">
        <v>243</v>
      </c>
    </row>
    <row r="44" spans="2:19" ht="15" thickBot="1">
      <c r="B44" s="307" t="s">
        <v>160</v>
      </c>
      <c r="C44" s="308"/>
      <c r="D44" s="182" t="s">
        <v>162</v>
      </c>
      <c r="E44" s="180">
        <v>3</v>
      </c>
    </row>
    <row r="47" spans="2:19">
      <c r="M47" s="119" t="s">
        <v>244</v>
      </c>
      <c r="N47" s="127">
        <v>0.85</v>
      </c>
      <c r="O47" s="118" t="s">
        <v>156</v>
      </c>
    </row>
    <row r="49" spans="2:19" ht="15" thickBot="1"/>
    <row r="50" spans="2:19" ht="29.4" customHeight="1" thickBot="1">
      <c r="B50" s="115" t="s">
        <v>245</v>
      </c>
      <c r="C50" s="134"/>
      <c r="D50" s="134"/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5"/>
    </row>
    <row r="51" spans="2:19" ht="28.8" customHeight="1">
      <c r="B51" s="400" t="s">
        <v>246</v>
      </c>
      <c r="C51" s="401"/>
      <c r="D51" s="401"/>
      <c r="E51" s="401"/>
      <c r="F51" s="401"/>
      <c r="G51" s="402"/>
      <c r="H51" s="400" t="s">
        <v>247</v>
      </c>
      <c r="I51" s="401"/>
      <c r="J51" s="401"/>
      <c r="K51" s="401"/>
      <c r="L51" s="401"/>
      <c r="M51" s="402"/>
      <c r="N51" s="136"/>
      <c r="O51" s="138" t="s">
        <v>248</v>
      </c>
      <c r="P51" s="139">
        <f>N26/S33</f>
        <v>0.88157894736842113</v>
      </c>
      <c r="Q51" s="139"/>
      <c r="R51" s="140"/>
      <c r="S51" s="141"/>
    </row>
    <row r="52" spans="2:19" ht="28.8" customHeight="1">
      <c r="B52" s="403" t="s">
        <v>165</v>
      </c>
      <c r="C52" s="404"/>
      <c r="D52" s="404"/>
      <c r="E52" s="404"/>
      <c r="F52" s="404"/>
      <c r="G52" s="405"/>
      <c r="H52" s="427" t="s">
        <v>166</v>
      </c>
      <c r="I52" s="428"/>
      <c r="J52" s="428"/>
      <c r="K52" s="428"/>
      <c r="L52" s="428"/>
      <c r="M52" s="429"/>
      <c r="N52" s="136"/>
      <c r="O52" s="142" t="s">
        <v>167</v>
      </c>
      <c r="P52" s="139">
        <f>(25*E32)+E29</f>
        <v>5</v>
      </c>
      <c r="Q52" s="139"/>
      <c r="R52" s="140" t="s">
        <v>249</v>
      </c>
      <c r="S52" s="143"/>
    </row>
    <row r="53" spans="2:19" ht="26.4" customHeight="1">
      <c r="B53" s="403" t="s">
        <v>169</v>
      </c>
      <c r="C53" s="404"/>
      <c r="D53" s="404"/>
      <c r="E53" s="404"/>
      <c r="F53" s="404"/>
      <c r="G53" s="405"/>
      <c r="H53" s="403" t="s">
        <v>250</v>
      </c>
      <c r="I53" s="404"/>
      <c r="J53" s="404"/>
      <c r="K53" s="404"/>
      <c r="L53" s="404"/>
      <c r="M53" s="405"/>
      <c r="N53" s="136"/>
      <c r="O53" s="142" t="s">
        <v>171</v>
      </c>
      <c r="P53" s="139">
        <f>(1.35*P52)+(1.5*E41)</f>
        <v>12</v>
      </c>
      <c r="Q53" s="139"/>
      <c r="R53" s="137" t="s">
        <v>172</v>
      </c>
      <c r="S53" s="143"/>
    </row>
    <row r="54" spans="2:19" ht="25.2" customHeight="1">
      <c r="B54" s="406" t="s">
        <v>251</v>
      </c>
      <c r="C54" s="407"/>
      <c r="D54" s="407"/>
      <c r="E54" s="407"/>
      <c r="F54" s="407"/>
      <c r="G54" s="408"/>
      <c r="H54" s="406" t="s">
        <v>252</v>
      </c>
      <c r="I54" s="407"/>
      <c r="J54" s="407"/>
      <c r="K54" s="407"/>
      <c r="L54" s="407"/>
      <c r="M54" s="408"/>
      <c r="N54" s="145"/>
      <c r="O54" s="146" t="s">
        <v>253</v>
      </c>
      <c r="P54" s="147">
        <v>4.7800000000000002E-2</v>
      </c>
      <c r="Q54" s="148"/>
      <c r="R54" s="144"/>
      <c r="S54" s="149"/>
    </row>
    <row r="55" spans="2:19" ht="27.6" customHeight="1">
      <c r="B55" s="409"/>
      <c r="C55" s="410"/>
      <c r="D55" s="410"/>
      <c r="E55" s="410"/>
      <c r="F55" s="410"/>
      <c r="G55" s="411"/>
      <c r="H55" s="415" t="s">
        <v>254</v>
      </c>
      <c r="I55" s="416"/>
      <c r="J55" s="416"/>
      <c r="K55" s="416"/>
      <c r="L55" s="416"/>
      <c r="M55" s="417"/>
      <c r="N55" s="145"/>
      <c r="O55" s="146" t="s">
        <v>255</v>
      </c>
      <c r="P55" s="147">
        <v>0.745</v>
      </c>
      <c r="Q55" s="148"/>
      <c r="R55" s="144"/>
      <c r="S55" s="149"/>
    </row>
    <row r="56" spans="2:19" ht="28.8" customHeight="1">
      <c r="B56" s="412" t="s">
        <v>256</v>
      </c>
      <c r="C56" s="413"/>
      <c r="D56" s="413"/>
      <c r="E56" s="413"/>
      <c r="F56" s="413"/>
      <c r="G56" s="414"/>
      <c r="H56" s="406" t="s">
        <v>257</v>
      </c>
      <c r="I56" s="407"/>
      <c r="J56" s="407"/>
      <c r="K56" s="407"/>
      <c r="L56" s="407"/>
      <c r="M56" s="408"/>
      <c r="N56" s="150"/>
      <c r="O56" s="152" t="s">
        <v>258</v>
      </c>
      <c r="P56" s="153">
        <f>P54*(P53*N26^2)</f>
        <v>25.748904000000003</v>
      </c>
      <c r="Q56" s="153"/>
      <c r="R56" s="151" t="s">
        <v>161</v>
      </c>
      <c r="S56" s="154"/>
    </row>
    <row r="57" spans="2:19" ht="27.6" customHeight="1">
      <c r="B57" s="415"/>
      <c r="C57" s="416"/>
      <c r="D57" s="416"/>
      <c r="E57" s="416"/>
      <c r="F57" s="416"/>
      <c r="G57" s="417"/>
      <c r="H57" s="409" t="s">
        <v>259</v>
      </c>
      <c r="I57" s="410"/>
      <c r="J57" s="410"/>
      <c r="K57" s="410"/>
      <c r="L57" s="410"/>
      <c r="M57" s="411"/>
      <c r="N57" s="145"/>
      <c r="O57" s="155" t="s">
        <v>260</v>
      </c>
      <c r="P57" s="156">
        <f>P55*P56</f>
        <v>19.182933480000003</v>
      </c>
      <c r="Q57" s="156"/>
      <c r="R57" s="144" t="s">
        <v>161</v>
      </c>
      <c r="S57" s="149"/>
    </row>
    <row r="58" spans="2:19" ht="27.6" customHeight="1">
      <c r="B58" s="412" t="s">
        <v>261</v>
      </c>
      <c r="C58" s="413"/>
      <c r="D58" s="413"/>
      <c r="E58" s="413"/>
      <c r="F58" s="413"/>
      <c r="G58" s="414"/>
      <c r="H58" s="406" t="s">
        <v>262</v>
      </c>
      <c r="I58" s="407"/>
      <c r="J58" s="407"/>
      <c r="K58" s="407"/>
      <c r="L58" s="407"/>
      <c r="M58" s="408"/>
      <c r="N58" s="150"/>
      <c r="O58" s="152" t="s">
        <v>178</v>
      </c>
      <c r="P58" s="153">
        <f>J43*P56</f>
        <v>7.7246712000000004</v>
      </c>
      <c r="Q58" s="153"/>
      <c r="R58" s="151" t="s">
        <v>161</v>
      </c>
      <c r="S58" s="154"/>
    </row>
    <row r="59" spans="2:19" ht="16.8" customHeight="1">
      <c r="B59" s="418"/>
      <c r="C59" s="419"/>
      <c r="D59" s="419"/>
      <c r="E59" s="419"/>
      <c r="F59" s="419"/>
      <c r="G59" s="420"/>
      <c r="H59" s="418" t="s">
        <v>263</v>
      </c>
      <c r="I59" s="419"/>
      <c r="J59" s="419"/>
      <c r="K59" s="419"/>
      <c r="L59" s="419"/>
      <c r="M59" s="420"/>
      <c r="N59" s="145"/>
      <c r="O59" s="155" t="s">
        <v>181</v>
      </c>
      <c r="P59" s="156">
        <f>R43*P56</f>
        <v>12.874452000000002</v>
      </c>
      <c r="Q59" s="156"/>
      <c r="R59" s="144" t="s">
        <v>161</v>
      </c>
      <c r="S59" s="149"/>
    </row>
    <row r="60" spans="2:19" ht="15" customHeight="1">
      <c r="B60" s="418"/>
      <c r="C60" s="419"/>
      <c r="D60" s="419"/>
      <c r="E60" s="419"/>
      <c r="F60" s="419"/>
      <c r="G60" s="420"/>
      <c r="H60" s="418" t="s">
        <v>264</v>
      </c>
      <c r="I60" s="419"/>
      <c r="J60" s="419"/>
      <c r="K60" s="419"/>
      <c r="L60" s="419"/>
      <c r="M60" s="420"/>
      <c r="N60" s="145"/>
      <c r="O60" s="155" t="s">
        <v>265</v>
      </c>
      <c r="P60" s="156">
        <f>H28*P57</f>
        <v>9.5914667400000013</v>
      </c>
      <c r="Q60" s="156"/>
      <c r="R60" s="144" t="s">
        <v>161</v>
      </c>
      <c r="S60" s="149"/>
    </row>
    <row r="61" spans="2:19" ht="14.4" customHeight="1">
      <c r="B61" s="415"/>
      <c r="C61" s="416"/>
      <c r="D61" s="416"/>
      <c r="E61" s="416"/>
      <c r="F61" s="416"/>
      <c r="G61" s="417"/>
      <c r="H61" s="415" t="s">
        <v>266</v>
      </c>
      <c r="I61" s="416"/>
      <c r="J61" s="416"/>
      <c r="K61" s="416"/>
      <c r="L61" s="416"/>
      <c r="M61" s="417"/>
      <c r="N61" s="145"/>
      <c r="O61" s="155" t="s">
        <v>267</v>
      </c>
      <c r="P61" s="156">
        <f>H39*P57</f>
        <v>3.8365866960000008</v>
      </c>
      <c r="Q61" s="156"/>
      <c r="R61" s="144" t="s">
        <v>161</v>
      </c>
      <c r="S61" s="149"/>
    </row>
    <row r="62" spans="2:19" ht="14.4" customHeight="1">
      <c r="B62" s="413" t="s">
        <v>268</v>
      </c>
      <c r="C62" s="413"/>
      <c r="D62" s="413"/>
      <c r="E62" s="413"/>
      <c r="F62" s="413"/>
      <c r="G62" s="414"/>
      <c r="H62" s="406" t="s">
        <v>269</v>
      </c>
      <c r="I62" s="407"/>
      <c r="J62" s="407"/>
      <c r="K62" s="407"/>
      <c r="L62" s="407"/>
      <c r="M62" s="408"/>
      <c r="N62" s="150"/>
      <c r="O62" s="152" t="s">
        <v>270</v>
      </c>
      <c r="P62" s="153">
        <f>N47*P56</f>
        <v>21.886568400000002</v>
      </c>
      <c r="Q62" s="153"/>
      <c r="R62" s="151" t="s">
        <v>161</v>
      </c>
      <c r="S62" s="154"/>
    </row>
    <row r="63" spans="2:19">
      <c r="B63" s="419"/>
      <c r="C63" s="419"/>
      <c r="D63" s="419"/>
      <c r="E63" s="419"/>
      <c r="F63" s="419"/>
      <c r="G63" s="420"/>
      <c r="H63" s="418" t="s">
        <v>271</v>
      </c>
      <c r="I63" s="419"/>
      <c r="J63" s="419"/>
      <c r="K63" s="419"/>
      <c r="L63" s="419"/>
      <c r="M63" s="420"/>
      <c r="N63" s="145"/>
      <c r="O63" s="155" t="s">
        <v>272</v>
      </c>
      <c r="P63" s="156">
        <f>H34*P57</f>
        <v>17.264640132000004</v>
      </c>
      <c r="Q63" s="156"/>
      <c r="R63" s="144" t="s">
        <v>161</v>
      </c>
      <c r="S63" s="149"/>
    </row>
    <row r="64" spans="2:19" ht="15" thickBot="1"/>
    <row r="65" spans="2:19" ht="28.8" customHeight="1" thickBot="1">
      <c r="B65" s="115" t="s">
        <v>190</v>
      </c>
      <c r="C65" s="134"/>
      <c r="D65" s="134"/>
      <c r="E65" s="134"/>
      <c r="F65" s="134"/>
      <c r="G65" s="134"/>
      <c r="H65" s="134"/>
      <c r="I65" s="134"/>
      <c r="J65" s="134"/>
      <c r="K65" s="134"/>
      <c r="L65" s="134"/>
      <c r="M65" s="134"/>
      <c r="N65" s="134"/>
      <c r="O65" s="134"/>
      <c r="P65" s="157"/>
      <c r="Q65" s="157"/>
      <c r="R65" s="134"/>
      <c r="S65" s="135"/>
    </row>
    <row r="66" spans="2:19" ht="37.799999999999997" customHeight="1">
      <c r="B66" s="421" t="s">
        <v>273</v>
      </c>
      <c r="C66" s="422"/>
      <c r="D66" s="422"/>
      <c r="E66" s="422"/>
      <c r="F66" s="422"/>
      <c r="G66" s="423"/>
      <c r="H66" s="436" t="s">
        <v>274</v>
      </c>
      <c r="I66" s="437"/>
      <c r="J66" s="437"/>
      <c r="K66" s="437"/>
      <c r="L66" s="437"/>
      <c r="M66" s="438"/>
      <c r="N66" s="145"/>
      <c r="O66" s="158" t="s">
        <v>275</v>
      </c>
      <c r="P66" s="156">
        <f>((391*(P62/1000))/((10*E35)*(((17*((17*(E32-(E44/100))^2*E38)-(60*(P62/1000))))/E38)^0.5+(17*(E32-(E44/100))))))*10000</f>
        <v>3.0448085622005392</v>
      </c>
      <c r="Q66" s="156"/>
      <c r="R66" s="144" t="s">
        <v>194</v>
      </c>
      <c r="S66" s="149"/>
    </row>
    <row r="67" spans="2:19" ht="37.200000000000003" customHeight="1">
      <c r="B67" s="418" t="s">
        <v>195</v>
      </c>
      <c r="C67" s="419"/>
      <c r="D67" s="419"/>
      <c r="E67" s="419"/>
      <c r="F67" s="419"/>
      <c r="G67" s="420"/>
      <c r="H67" s="418" t="s">
        <v>276</v>
      </c>
      <c r="I67" s="419"/>
      <c r="J67" s="419"/>
      <c r="K67" s="419"/>
      <c r="L67" s="419"/>
      <c r="M67" s="420"/>
      <c r="N67" s="145"/>
      <c r="O67" s="158" t="s">
        <v>197</v>
      </c>
      <c r="P67" s="156">
        <f>((391*(P58/1000))/((10*E35)*(((17*((17*(E32-(E44/100))^2*E38)-(60*(P58/1000))))/E38)^0.5+(17*(E32-(E44/100))))))*10000</f>
        <v>1.0551523390516582</v>
      </c>
      <c r="Q67" s="156"/>
      <c r="R67" s="144" t="s">
        <v>194</v>
      </c>
      <c r="S67" s="149"/>
    </row>
    <row r="68" spans="2:19" ht="37.200000000000003" customHeight="1">
      <c r="B68" s="409" t="s">
        <v>198</v>
      </c>
      <c r="C68" s="410"/>
      <c r="D68" s="410"/>
      <c r="E68" s="410"/>
      <c r="F68" s="410"/>
      <c r="G68" s="411"/>
      <c r="H68" s="418" t="s">
        <v>277</v>
      </c>
      <c r="I68" s="419"/>
      <c r="J68" s="419"/>
      <c r="K68" s="419"/>
      <c r="L68" s="419"/>
      <c r="M68" s="420"/>
      <c r="N68" s="145"/>
      <c r="O68" s="158" t="s">
        <v>200</v>
      </c>
      <c r="P68" s="156">
        <f>((391*(P59/1000))/((10*E35)*(((17*((17*(E32-(E44/100))^2*E38)-(60*(P59/1000))))/E38)^0.5+(17*(E32-(E44/100))))))*10000</f>
        <v>1.7701210152113076</v>
      </c>
      <c r="Q68" s="156"/>
      <c r="R68" s="144" t="s">
        <v>194</v>
      </c>
      <c r="S68" s="149"/>
    </row>
    <row r="69" spans="2:19" ht="37.200000000000003" customHeight="1">
      <c r="B69" s="406" t="s">
        <v>278</v>
      </c>
      <c r="C69" s="407"/>
      <c r="D69" s="407"/>
      <c r="E69" s="407"/>
      <c r="F69" s="407"/>
      <c r="G69" s="408"/>
      <c r="H69" s="418" t="s">
        <v>279</v>
      </c>
      <c r="I69" s="419"/>
      <c r="J69" s="419"/>
      <c r="K69" s="419"/>
      <c r="L69" s="419"/>
      <c r="M69" s="420"/>
      <c r="N69" s="150"/>
      <c r="O69" s="159" t="s">
        <v>280</v>
      </c>
      <c r="P69" s="153">
        <f>((391*(P63/1000))/((10*E35)*(((17*((17*(E32-(E44/100))^2*E38)-(60*(P63/1000))))/E38)^0.5+(17*(E32-(E44/100))))))*10000</f>
        <v>2.3872465214311274</v>
      </c>
      <c r="Q69" s="153"/>
      <c r="R69" s="151" t="s">
        <v>194</v>
      </c>
      <c r="S69" s="154"/>
    </row>
    <row r="70" spans="2:19" ht="37.200000000000003" customHeight="1">
      <c r="B70" s="424" t="s">
        <v>281</v>
      </c>
      <c r="C70" s="425"/>
      <c r="D70" s="425"/>
      <c r="E70" s="425"/>
      <c r="F70" s="425"/>
      <c r="G70" s="426"/>
      <c r="H70" s="418" t="s">
        <v>282</v>
      </c>
      <c r="I70" s="419"/>
      <c r="J70" s="419"/>
      <c r="K70" s="419"/>
      <c r="L70" s="419"/>
      <c r="M70" s="420"/>
      <c r="N70" s="145"/>
      <c r="O70" s="158" t="s">
        <v>283</v>
      </c>
      <c r="P70" s="156">
        <f>((391*(P60/1000))/((10*E35)*(((17*((17*(E32-(E44/100))^2*E38)-(60*(P60/1000))))/E38)^0.5+(17*(E32-(E44/100))))))*10000</f>
        <v>1.313236258079445</v>
      </c>
      <c r="Q70" s="156"/>
      <c r="R70" s="144" t="s">
        <v>194</v>
      </c>
      <c r="S70" s="149"/>
    </row>
    <row r="71" spans="2:19" ht="37.200000000000003" customHeight="1">
      <c r="B71" s="409" t="s">
        <v>284</v>
      </c>
      <c r="C71" s="410"/>
      <c r="D71" s="410"/>
      <c r="E71" s="410"/>
      <c r="F71" s="410"/>
      <c r="G71" s="411"/>
      <c r="H71" s="415"/>
      <c r="I71" s="416"/>
      <c r="J71" s="416"/>
      <c r="K71" s="416"/>
      <c r="L71" s="416"/>
      <c r="M71" s="417"/>
      <c r="N71" s="145"/>
      <c r="O71" s="158" t="s">
        <v>285</v>
      </c>
      <c r="P71" s="156">
        <f>((391*(P61/1000))/((10*E35)*(((17*((17*(E32-(E44/100))^2*E38)-(60*(P61/1000))))/E38)^0.5+(17*(E32-(E44/100))))))*10000</f>
        <v>0.5215227280069914</v>
      </c>
      <c r="Q71" s="156"/>
      <c r="R71" s="144" t="s">
        <v>194</v>
      </c>
      <c r="S71" s="149"/>
    </row>
    <row r="72" spans="2:19" ht="37.200000000000003" customHeight="1">
      <c r="B72" s="406" t="s">
        <v>286</v>
      </c>
      <c r="C72" s="407"/>
      <c r="D72" s="407"/>
      <c r="E72" s="407"/>
      <c r="F72" s="407"/>
      <c r="G72" s="408"/>
      <c r="H72" s="406" t="s">
        <v>202</v>
      </c>
      <c r="I72" s="407"/>
      <c r="J72" s="407"/>
      <c r="K72" s="407"/>
      <c r="L72" s="407"/>
      <c r="M72" s="408"/>
      <c r="N72" s="150"/>
      <c r="O72" s="152"/>
      <c r="P72" s="160"/>
      <c r="Q72" s="160"/>
      <c r="R72" s="151"/>
      <c r="S72" s="154"/>
    </row>
    <row r="73" spans="2:19" ht="37.200000000000003" customHeight="1">
      <c r="B73" s="409"/>
      <c r="C73" s="410"/>
      <c r="D73" s="410"/>
      <c r="E73" s="410"/>
      <c r="F73" s="410"/>
      <c r="G73" s="411"/>
      <c r="H73" s="409" t="s">
        <v>203</v>
      </c>
      <c r="I73" s="410"/>
      <c r="J73" s="410"/>
      <c r="K73" s="410"/>
      <c r="L73" s="410"/>
      <c r="M73" s="411"/>
      <c r="N73" s="145"/>
      <c r="O73" s="146" t="s">
        <v>204</v>
      </c>
      <c r="P73" s="156">
        <f>IF(E35=400,8*E32,6*E32)</f>
        <v>1.2000000000000002</v>
      </c>
      <c r="Q73" s="156"/>
      <c r="R73" s="144" t="s">
        <v>194</v>
      </c>
      <c r="S73" s="149"/>
    </row>
    <row r="74" spans="2:19" ht="37.200000000000003" customHeight="1">
      <c r="B74" s="403" t="s">
        <v>186</v>
      </c>
      <c r="C74" s="404"/>
      <c r="D74" s="404"/>
      <c r="E74" s="404"/>
      <c r="F74" s="404"/>
      <c r="G74" s="405"/>
      <c r="H74" s="403" t="s">
        <v>287</v>
      </c>
      <c r="I74" s="404"/>
      <c r="J74" s="404"/>
      <c r="K74" s="404"/>
      <c r="L74" s="404"/>
      <c r="M74" s="405"/>
      <c r="N74" s="136"/>
      <c r="O74" s="142" t="s">
        <v>220</v>
      </c>
      <c r="P74" s="139" t="str">
        <f>IF(P69&gt;P73,"Vérifié","Non vérifié")</f>
        <v>Vérifié</v>
      </c>
      <c r="Q74" s="139"/>
      <c r="R74" s="161"/>
      <c r="S74" s="143"/>
    </row>
    <row r="75" spans="2:19" ht="37.200000000000003" customHeight="1">
      <c r="B75" s="427" t="s">
        <v>288</v>
      </c>
      <c r="C75" s="428"/>
      <c r="D75" s="428"/>
      <c r="E75" s="428"/>
      <c r="F75" s="428"/>
      <c r="G75" s="429"/>
      <c r="H75" s="433" t="s">
        <v>206</v>
      </c>
      <c r="I75" s="434"/>
      <c r="J75" s="434"/>
      <c r="K75" s="434"/>
      <c r="L75" s="434"/>
      <c r="M75" s="435"/>
      <c r="N75" s="145"/>
      <c r="O75" s="146" t="s">
        <v>207</v>
      </c>
      <c r="P75" s="156">
        <f>P73*((3-P51)/2)</f>
        <v>1.2710526315789474</v>
      </c>
      <c r="Q75" s="156"/>
      <c r="R75" s="144" t="s">
        <v>194</v>
      </c>
      <c r="S75" s="149"/>
    </row>
    <row r="76" spans="2:19" ht="37.200000000000003" customHeight="1">
      <c r="B76" s="403" t="s">
        <v>186</v>
      </c>
      <c r="C76" s="404"/>
      <c r="D76" s="404"/>
      <c r="E76" s="404"/>
      <c r="F76" s="404"/>
      <c r="G76" s="405"/>
      <c r="H76" s="427" t="s">
        <v>289</v>
      </c>
      <c r="I76" s="428"/>
      <c r="J76" s="428"/>
      <c r="K76" s="428"/>
      <c r="L76" s="428"/>
      <c r="M76" s="429"/>
      <c r="N76" s="136"/>
      <c r="O76" s="142" t="s">
        <v>220</v>
      </c>
      <c r="P76" s="139" t="str">
        <f>IF(P66&gt;P75,"Vérifié","Non vérifié")</f>
        <v>Vérifié</v>
      </c>
      <c r="Q76" s="139"/>
      <c r="R76" s="161"/>
      <c r="S76" s="143"/>
    </row>
    <row r="77" spans="2:19" ht="15" thickBot="1"/>
    <row r="78" spans="2:19" ht="16.2" thickBot="1">
      <c r="B78" s="162" t="s">
        <v>208</v>
      </c>
      <c r="C78" s="116"/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63"/>
      <c r="Q78" s="163"/>
      <c r="R78" s="116"/>
      <c r="S78" s="117"/>
    </row>
    <row r="79" spans="2:19" ht="25.8" customHeight="1">
      <c r="B79" s="430" t="s">
        <v>290</v>
      </c>
      <c r="C79" s="431"/>
      <c r="D79" s="431"/>
      <c r="E79" s="431"/>
      <c r="F79" s="431"/>
      <c r="G79" s="432"/>
      <c r="H79" s="400" t="s">
        <v>291</v>
      </c>
      <c r="I79" s="401"/>
      <c r="J79" s="401"/>
      <c r="K79" s="401"/>
      <c r="L79" s="401"/>
      <c r="M79" s="402"/>
      <c r="N79" s="145"/>
      <c r="O79" s="155" t="s">
        <v>211</v>
      </c>
      <c r="P79" s="156">
        <f>(P53*N26*S33)/((2*S33)+N26)</f>
        <v>27.901369863013699</v>
      </c>
      <c r="Q79" s="156"/>
      <c r="R79" s="144" t="s">
        <v>212</v>
      </c>
      <c r="S79" s="149"/>
    </row>
    <row r="80" spans="2:19" ht="27.6" customHeight="1">
      <c r="B80" s="403" t="s">
        <v>213</v>
      </c>
      <c r="C80" s="404"/>
      <c r="D80" s="404"/>
      <c r="E80" s="404"/>
      <c r="F80" s="404"/>
      <c r="G80" s="405"/>
      <c r="H80" s="403" t="s">
        <v>214</v>
      </c>
      <c r="I80" s="404"/>
      <c r="J80" s="404"/>
      <c r="K80" s="404"/>
      <c r="L80" s="404"/>
      <c r="M80" s="405"/>
      <c r="N80" s="150"/>
      <c r="O80" s="164" t="s">
        <v>215</v>
      </c>
      <c r="P80" s="165">
        <f>(P79/(E32-(E44/100)))/1000</f>
        <v>0.16412570507655116</v>
      </c>
      <c r="Q80" s="153"/>
      <c r="R80" s="151" t="s">
        <v>31</v>
      </c>
      <c r="S80" s="154"/>
    </row>
    <row r="81" spans="2:19" ht="32.4" customHeight="1">
      <c r="B81" s="403" t="s">
        <v>292</v>
      </c>
      <c r="C81" s="404"/>
      <c r="D81" s="404"/>
      <c r="E81" s="404"/>
      <c r="F81" s="404"/>
      <c r="G81" s="405"/>
      <c r="H81" s="403" t="s">
        <v>293</v>
      </c>
      <c r="I81" s="404"/>
      <c r="J81" s="404"/>
      <c r="K81" s="404"/>
      <c r="L81" s="404"/>
      <c r="M81" s="405"/>
      <c r="N81" s="136"/>
      <c r="O81" s="166" t="s">
        <v>218</v>
      </c>
      <c r="P81" s="167">
        <f>(0.07*E38)/1.5</f>
        <v>1.1666666666666667</v>
      </c>
      <c r="Q81" s="139"/>
      <c r="R81" s="137" t="s">
        <v>31</v>
      </c>
      <c r="S81" s="143"/>
    </row>
    <row r="82" spans="2:19" ht="32.4" customHeight="1">
      <c r="B82" s="403" t="s">
        <v>186</v>
      </c>
      <c r="C82" s="404"/>
      <c r="D82" s="404"/>
      <c r="E82" s="404"/>
      <c r="F82" s="404"/>
      <c r="G82" s="405"/>
      <c r="H82" s="433" t="s">
        <v>219</v>
      </c>
      <c r="I82" s="434"/>
      <c r="J82" s="434"/>
      <c r="K82" s="434"/>
      <c r="L82" s="434"/>
      <c r="M82" s="435"/>
      <c r="N82" s="168"/>
      <c r="O82" s="142" t="s">
        <v>220</v>
      </c>
      <c r="P82" s="169" t="str">
        <f>IF(P80&lt;P81,"Vérifié","Non vérifié")</f>
        <v>Vérifié</v>
      </c>
      <c r="Q82" s="169"/>
      <c r="R82" s="170"/>
      <c r="S82" s="171"/>
    </row>
  </sheetData>
  <sheetProtection formatCells="0" formatColumns="0" formatRows="0" insertColumns="0" insertRows="0" insertHyperlinks="0" deleteColumns="0" deleteRows="0" sort="0" autoFilter="0" pivotTables="0"/>
  <mergeCells count="66">
    <mergeCell ref="B82:G82"/>
    <mergeCell ref="H82:M82"/>
    <mergeCell ref="B79:G79"/>
    <mergeCell ref="H79:M79"/>
    <mergeCell ref="B80:G80"/>
    <mergeCell ref="H80:M80"/>
    <mergeCell ref="B81:G81"/>
    <mergeCell ref="H81:M81"/>
    <mergeCell ref="B74:G74"/>
    <mergeCell ref="H74:M74"/>
    <mergeCell ref="B75:G75"/>
    <mergeCell ref="H75:M75"/>
    <mergeCell ref="B76:G76"/>
    <mergeCell ref="H76:M76"/>
    <mergeCell ref="B72:G73"/>
    <mergeCell ref="H72:M72"/>
    <mergeCell ref="H73:M73"/>
    <mergeCell ref="B66:G66"/>
    <mergeCell ref="H66:M66"/>
    <mergeCell ref="B67:G67"/>
    <mergeCell ref="H67:M67"/>
    <mergeCell ref="B68:G68"/>
    <mergeCell ref="H68:M68"/>
    <mergeCell ref="B69:G69"/>
    <mergeCell ref="H69:M69"/>
    <mergeCell ref="B70:G70"/>
    <mergeCell ref="H70:M71"/>
    <mergeCell ref="B71:G71"/>
    <mergeCell ref="B62:G63"/>
    <mergeCell ref="H62:M62"/>
    <mergeCell ref="H63:M63"/>
    <mergeCell ref="B54:G55"/>
    <mergeCell ref="H54:M54"/>
    <mergeCell ref="H55:M55"/>
    <mergeCell ref="B56:G57"/>
    <mergeCell ref="H56:M56"/>
    <mergeCell ref="H57:M57"/>
    <mergeCell ref="B58:G61"/>
    <mergeCell ref="H58:M58"/>
    <mergeCell ref="H59:M59"/>
    <mergeCell ref="H60:M60"/>
    <mergeCell ref="H61:M61"/>
    <mergeCell ref="B51:G51"/>
    <mergeCell ref="H51:M51"/>
    <mergeCell ref="B52:G52"/>
    <mergeCell ref="H52:M52"/>
    <mergeCell ref="B53:G53"/>
    <mergeCell ref="H53:M53"/>
    <mergeCell ref="B44:C44"/>
    <mergeCell ref="F17:H17"/>
    <mergeCell ref="K17:L17"/>
    <mergeCell ref="B20:C20"/>
    <mergeCell ref="D20:R20"/>
    <mergeCell ref="B29:C29"/>
    <mergeCell ref="B32:C32"/>
    <mergeCell ref="B35:C35"/>
    <mergeCell ref="B38:C38"/>
    <mergeCell ref="B41:C41"/>
    <mergeCell ref="J42:K42"/>
    <mergeCell ref="R42:S42"/>
    <mergeCell ref="I8:I11"/>
    <mergeCell ref="F3:L3"/>
    <mergeCell ref="N3:P3"/>
    <mergeCell ref="H4:J4"/>
    <mergeCell ref="N4:P4"/>
    <mergeCell ref="N6:P6"/>
  </mergeCells>
  <conditionalFormatting sqref="B51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52:B54 B56 B58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5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6:B68 B70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74:B7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2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5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41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4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Poutre isostatique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BHK</cp:lastModifiedBy>
  <dcterms:created xsi:type="dcterms:W3CDTF">2019-10-12T05:06:02Z</dcterms:created>
  <dcterms:modified xsi:type="dcterms:W3CDTF">2020-08-26T13:01:14Z</dcterms:modified>
</cp:coreProperties>
</file>